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ourseDataAnalysis\tasks\"/>
    </mc:Choice>
  </mc:AlternateContent>
  <xr:revisionPtr revIDLastSave="0" documentId="8_{975F8365-6DB3-4926-8143-F6040225F215}" xr6:coauthVersionLast="47" xr6:coauthVersionMax="47" xr10:uidLastSave="{00000000-0000-0000-0000-000000000000}"/>
  <bookViews>
    <workbookView xWindow="-108" yWindow="-108" windowWidth="23256" windowHeight="12576" activeTab="2" xr2:uid="{3F78300B-AE87-4A46-B97C-0B0DFDD804AE}"/>
  </bookViews>
  <sheets>
    <sheet name="Analysis " sheetId="1" r:id="rId1"/>
    <sheet name="Home " sheetId="2" r:id="rId2"/>
    <sheet name="Dashboard" sheetId="3" r:id="rId3"/>
  </sheets>
  <calcPr calcId="191029"/>
  <pivotCaches>
    <pivotCache cacheId="19" r:id="rId4"/>
    <pivotCache cacheId="22" r:id="rId5"/>
    <pivotCache cacheId="25" r:id="rId6"/>
    <pivotCache cacheId="28" r:id="rId7"/>
    <pivotCache cacheId="31" r:id="rId8"/>
    <pivotCache cacheId="34" r:id="rId9"/>
    <pivotCache cacheId="37" r:id="rId10"/>
    <pivotCache cacheId="40" r:id="rId11"/>
    <pivotCache cacheId="43" r:id="rId12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ales_Adidas_08babdef-66f8-4b4d-8c5b-b884202c7ea0" name="Fact_Sales_Adidas" connection="Query - Fact_Sales_Adidas"/>
          <x15:modelTable id="Dim_retailer1_ab47ffd0-3560-442f-a408-28fec871391d" name="Dim_retailer1" connection="Query - Dim_retailer1"/>
          <x15:modelTable id="Dim_Loction3_9d2c6b26-c99e-47ba-8484-31e3b48f7c19" name="Dim_Loction3" connection="Query - Dim_Loction3"/>
          <x15:modelTable id="Dim_Product2_4adb7665-262f-41ef-81c3-f552eb3dc639" name="Dim_Product2" connection="Query - Dim_Product2"/>
          <x15:modelTable id="Dim_Date4_e177305a-eaf4-4396-b007-cf28da8974c5" name="Dim_Date4" connection="Query - Dim_Date4"/>
        </x15:modelTables>
        <x15:modelRelationships>
          <x15:modelRelationship fromTable="Fact_Sales_Adidas" fromColumn="Retailer ID" toTable="Dim_retailer1" toColumn="Retailer ID"/>
          <x15:modelRelationship fromTable="Fact_Sales_Adidas" fromColumn="Invoice Date" toTable="Dim_Date4" toColumn="Invoice Date"/>
          <x15:modelRelationship fromTable="Fact_Sales_Adidas" fromColumn="State" toTable="Dim_Loction3" toColumn="State"/>
          <x15:modelRelationship fromTable="Fact_Sales_Adidas" fromColumn="Product" toTable="Dim_Product2" toColumn="Product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im_Date4" columnName="Invoice Date" columnId="Invoice Date">
                <x16:calculatedTimeColumn columnName="Invoice Date (Year)" columnId="Invoice Date (Year)" contentType="years" isSelected="1"/>
                <x16:calculatedTimeColumn columnName="Invoice Date (Quarter)" columnId="Invoice Date (Quarter)" contentType="quarters" isSelected="1"/>
                <x16:calculatedTimeColumn columnName="Invoice Date (Month Index)" columnId="Invoice Date (Month Index)" contentType="monthsindex" isSelected="1"/>
                <x16:calculatedTimeColumn columnName="Invoice Date (Month)" columnId="Invoice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11" i="1"/>
  <c r="B8" i="1"/>
  <c r="B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496CAF-8542-46AF-8FBB-65D9BE1A90FD}" name="Query - Dim_Date4" description="Connection to the 'Dim_Date4' query in the workbook." type="100" refreshedVersion="8" minRefreshableVersion="5">
    <extLst>
      <ext xmlns:x15="http://schemas.microsoft.com/office/spreadsheetml/2010/11/main" uri="{DE250136-89BD-433C-8126-D09CA5730AF9}">
        <x15:connection id="4d452017-46b6-41c8-887f-be7c22bd351a"/>
      </ext>
    </extLst>
  </connection>
  <connection id="2" xr16:uid="{BEA830F0-8D2A-4C4F-B684-11BFF2EF0047}" name="Query - Dim_Loction3" description="Connection to the 'Dim_Loction3' query in the workbook." type="100" refreshedVersion="8" minRefreshableVersion="5">
    <extLst>
      <ext xmlns:x15="http://schemas.microsoft.com/office/spreadsheetml/2010/11/main" uri="{DE250136-89BD-433C-8126-D09CA5730AF9}">
        <x15:connection id="23093937-db7e-4d6c-9a33-8cbfb0853a7b"/>
      </ext>
    </extLst>
  </connection>
  <connection id="3" xr16:uid="{00598662-F24A-41EF-8488-047A5F3EF249}" name="Query - Dim_Product2" description="Connection to the 'Dim_Product2' query in the workbook." type="100" refreshedVersion="8" minRefreshableVersion="5">
    <extLst>
      <ext xmlns:x15="http://schemas.microsoft.com/office/spreadsheetml/2010/11/main" uri="{DE250136-89BD-433C-8126-D09CA5730AF9}">
        <x15:connection id="d83d9d89-8764-461b-a58a-af87c5d15e70"/>
      </ext>
    </extLst>
  </connection>
  <connection id="4" xr16:uid="{4D1BEBDE-AFDF-4E79-9A34-BC0B141136C4}" name="Query - Dim_retailer1" description="Connection to the 'Dim_retailer1' query in the workbook." type="100" refreshedVersion="8" minRefreshableVersion="5">
    <extLst>
      <ext xmlns:x15="http://schemas.microsoft.com/office/spreadsheetml/2010/11/main" uri="{DE250136-89BD-433C-8126-D09CA5730AF9}">
        <x15:connection id="64753688-d7a0-4610-a3d4-e5778036553e"/>
      </ext>
    </extLst>
  </connection>
  <connection id="5" xr16:uid="{819CCAAB-2F0B-459A-A3F5-F340460A95A4}" name="Query - Fact_Sales_Adidas" description="Connection to the 'Fact_Sales_Adidas' query in the workbook." type="100" refreshedVersion="8" minRefreshableVersion="5">
    <extLst>
      <ext xmlns:x15="http://schemas.microsoft.com/office/spreadsheetml/2010/11/main" uri="{DE250136-89BD-433C-8126-D09CA5730AF9}">
        <x15:connection id="5d97de53-fcc6-4fa2-ac39-7e02d7bab06f"/>
      </ext>
    </extLst>
  </connection>
  <connection id="6" xr16:uid="{A0B1E280-50AE-4BF7-8192-ECBB4D94848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<sst xmlns="http://schemas.openxmlformats.org/spreadsheetml/2006/main" count="39" uniqueCount="28">
  <si>
    <t>TotalSales</t>
  </si>
  <si>
    <t>Total Profit</t>
  </si>
  <si>
    <t>ProfitMargin</t>
  </si>
  <si>
    <t>Total Unit</t>
  </si>
  <si>
    <t>Row Labels</t>
  </si>
  <si>
    <t>Grand Total</t>
  </si>
  <si>
    <t>2020</t>
  </si>
  <si>
    <t>2021</t>
  </si>
  <si>
    <t>Men's Apparel</t>
  </si>
  <si>
    <t>Men's Athletic Footwear</t>
  </si>
  <si>
    <t>Men's Street Footwear</t>
  </si>
  <si>
    <t>Women's Apparel</t>
  </si>
  <si>
    <t>Women's Athletic Footwear</t>
  </si>
  <si>
    <t>Women's Street Footwear</t>
  </si>
  <si>
    <t>California</t>
  </si>
  <si>
    <t>Florida</t>
  </si>
  <si>
    <t>Hawaii</t>
  </si>
  <si>
    <t>Louisiana</t>
  </si>
  <si>
    <t>New York</t>
  </si>
  <si>
    <t>North Carolina</t>
  </si>
  <si>
    <t>South Carolina</t>
  </si>
  <si>
    <t>Texas</t>
  </si>
  <si>
    <t>Washington</t>
  </si>
  <si>
    <t>(blank)</t>
  </si>
  <si>
    <t>Sum of Total Sales</t>
  </si>
  <si>
    <t>In-store</t>
  </si>
  <si>
    <t>Online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</si>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</sst>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2" x14ac:knownFonts="1">
    <font>
      <sz val="11"/>
      <color theme="1"/>
      <name val="Aptos Narrow"/>
      <family val="2"/>
      <scheme val="minor"/>
    </font>
    <font>
      <sz val="8"/>
      <color rgb="FFF9FAF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7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[adidas analysis(AutoRecovered).xlsx]Analysis !Sales &amp; Profit Trend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&amp; Profit Trend</a:t>
            </a:r>
            <a:endParaRPr lang="en-US"/>
          </a:p>
        </c:rich>
      </c:tx>
      <c:layout>
        <c:manualLayout>
          <c:xMode val="edge"/>
          <c:yMode val="edge"/>
          <c:x val="0.33929855643044621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'Analysis '!$E$1</c:f>
              <c:strCache>
                <c:ptCount val="1"/>
                <c:pt idx="0">
                  <c:v>TotalSales</c:v>
                </c:pt>
              </c:strCache>
            </c:strRef>
          </c:tx>
          <c:spPr>
            <a:ln w="31750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'Analysis '!$D$2:$D$4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'Analysis '!$E$2:$E$4</c:f>
              <c:numCache>
                <c:formatCode>General</c:formatCode>
                <c:ptCount val="2"/>
                <c:pt idx="0">
                  <c:v>176353706</c:v>
                </c:pt>
                <c:pt idx="1">
                  <c:v>708734927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2-47C9-8662-6BBF03709F17}"/>
            </c:ext>
          </c:extLst>
        </c:ser>
        <c:ser>
          <c:idx val="1"/>
          <c:order val="1"/>
          <c:tx>
            <c:strRef>
              <c:f>'Analysis '!$F$1</c:f>
              <c:strCache>
                <c:ptCount val="1"/>
                <c:pt idx="0">
                  <c:v>Total Profit</c:v>
                </c:pt>
              </c:strCache>
            </c:strRef>
          </c:tx>
          <c:spPr>
            <a:ln w="31750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'Analysis '!$D$2:$D$4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'Analysis '!$F$2:$F$4</c:f>
              <c:numCache>
                <c:formatCode>General</c:formatCode>
                <c:ptCount val="2"/>
                <c:pt idx="0">
                  <c:v>61117713.159999996</c:v>
                </c:pt>
                <c:pt idx="1">
                  <c:v>264425516.49000001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2-47C9-8662-6BBF03709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16135"/>
        <c:axId val="77116855"/>
      </c:lineChart>
      <c:catAx>
        <c:axId val="77116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6855"/>
        <c:crosses val="autoZero"/>
        <c:auto val="1"/>
        <c:lblAlgn val="ctr"/>
        <c:lblOffset val="100"/>
        <c:noMultiLvlLbl val="0"/>
      </c:catAx>
      <c:valAx>
        <c:axId val="77116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61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[adidas analysis(AutoRecovered).xlsx]Analysis !Top Products 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cap="none" baseline="0">
                <a:effectLst/>
              </a:rPr>
              <a:t>Top Performing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'Analysis '!$E$7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'Analysis '!$D$8:$D$14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'Analysis '!$E$8:$E$14</c:f>
              <c:numCache>
                <c:formatCode>General</c:formatCode>
                <c:ptCount val="6"/>
                <c:pt idx="0">
                  <c:v>121769511</c:v>
                </c:pt>
                <c:pt idx="1">
                  <c:v>150705588</c:v>
                </c:pt>
                <c:pt idx="2">
                  <c:v>205292112</c:v>
                </c:pt>
                <c:pt idx="3">
                  <c:v>176343839</c:v>
                </c:pt>
                <c:pt idx="4">
                  <c:v>104935462</c:v>
                </c:pt>
                <c:pt idx="5">
                  <c:v>126042121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9-4AF2-9903-F0AA137A6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111095"/>
        <c:axId val="77112535"/>
        <c:axId val="0"/>
      </c:bar3DChart>
      <c:catAx>
        <c:axId val="77111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2535"/>
        <c:crosses val="autoZero"/>
        <c:auto val="1"/>
        <c:lblAlgn val="ctr"/>
        <c:lblOffset val="100"/>
        <c:noMultiLvlLbl val="0"/>
      </c:catAx>
      <c:valAx>
        <c:axId val="77112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1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[adidas analysis(AutoRecovered).xlsx]Analysis !Top Region by Sales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Region by Sales</a:t>
            </a:r>
          </a:p>
        </c:rich>
      </c:tx>
      <c:layout>
        <c:manualLayout>
          <c:xMode val="edge"/>
          <c:yMode val="edge"/>
          <c:x val="0.28706816440691024"/>
          <c:y val="5.5903445140223613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9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757052389176741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42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>
              <a:shade val="5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>
              <a:shade val="6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>
              <a:shade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>
              <a:tint val="9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>
              <a:tint val="81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>
              <a:tint val="69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>
              <a:tint val="5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>
              <a:tint val="4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'Analysis '!$E$16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>
                  <a:shade val="4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9B-4D50-BF05-B3E81C1C0CE7}"/>
              </c:ext>
            </c:extLst>
          </c:dPt>
          <c:dPt>
            <c:idx val="1"/>
            <c:bubble3D val="0"/>
            <c:spPr>
              <a:solidFill>
                <a:schemeClr val="accent1">
                  <a:shade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89B-4D50-BF05-B3E81C1C0CE7}"/>
              </c:ext>
            </c:extLst>
          </c:dPt>
          <c:dPt>
            <c:idx val="2"/>
            <c:bubble3D val="0"/>
            <c:spPr>
              <a:solidFill>
                <a:schemeClr val="accent1">
                  <a:shade val="6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9B-4D50-BF05-B3E81C1C0CE7}"/>
              </c:ext>
            </c:extLst>
          </c:dPt>
          <c:dPt>
            <c:idx val="3"/>
            <c:bubble3D val="0"/>
            <c:spPr>
              <a:solidFill>
                <a:schemeClr val="accent1">
                  <a:shade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89B-4D50-BF05-B3E81C1C0CE7}"/>
              </c:ext>
            </c:extLst>
          </c:dPt>
          <c:dPt>
            <c:idx val="4"/>
            <c:bubble3D val="0"/>
            <c:spPr>
              <a:solidFill>
                <a:schemeClr val="accent1">
                  <a:shade val="9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89B-4D50-BF05-B3E81C1C0CE7}"/>
              </c:ext>
            </c:extLst>
          </c:dPt>
          <c:dPt>
            <c:idx val="5"/>
            <c:bubble3D val="0"/>
            <c:spPr>
              <a:solidFill>
                <a:schemeClr val="accent1">
                  <a:tint val="9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9B-4D50-BF05-B3E81C1C0CE7}"/>
              </c:ext>
            </c:extLst>
          </c:dPt>
          <c:dPt>
            <c:idx val="6"/>
            <c:bubble3D val="0"/>
            <c:spPr>
              <a:solidFill>
                <a:schemeClr val="accent1">
                  <a:tint val="8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89B-4D50-BF05-B3E81C1C0CE7}"/>
              </c:ext>
            </c:extLst>
          </c:dPt>
          <c:dPt>
            <c:idx val="7"/>
            <c:bubble3D val="0"/>
            <c:spPr>
              <a:solidFill>
                <a:schemeClr val="accent1">
                  <a:tint val="6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89B-4D50-BF05-B3E81C1C0CE7}"/>
              </c:ext>
            </c:extLst>
          </c:dPt>
          <c:dPt>
            <c:idx val="8"/>
            <c:bubble3D val="0"/>
            <c:spPr>
              <a:solidFill>
                <a:schemeClr val="accent1">
                  <a:tint val="5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89B-4D50-BF05-B3E81C1C0CE7}"/>
              </c:ext>
            </c:extLst>
          </c:dPt>
          <c:dPt>
            <c:idx val="9"/>
            <c:bubble3D val="0"/>
            <c:spPr>
              <a:solidFill>
                <a:schemeClr val="accent1">
                  <a:tint val="4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89B-4D50-BF05-B3E81C1C0CE7}"/>
              </c:ext>
            </c:extLst>
          </c:dPt>
          <c:dLbls>
            <c:dLbl>
              <c:idx val="4"/>
              <c:layout>
                <c:manualLayout>
                  <c:x val="-5.7570523891767415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9B-4D50-BF05-B3E81C1C0C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'!$D$17:$D$27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Hawaii</c:v>
                </c:pt>
                <c:pt idx="3">
                  <c:v>Louisiana</c:v>
                </c:pt>
                <c:pt idx="4">
                  <c:v>New York</c:v>
                </c:pt>
                <c:pt idx="5">
                  <c:v>North Carolina</c:v>
                </c:pt>
                <c:pt idx="6">
                  <c:v>South Carolina</c:v>
                </c:pt>
                <c:pt idx="7">
                  <c:v>Texas</c:v>
                </c:pt>
                <c:pt idx="8">
                  <c:v>Washington</c:v>
                </c:pt>
                <c:pt idx="9">
                  <c:v>(blank)</c:v>
                </c:pt>
              </c:strCache>
            </c:strRef>
          </c:cat>
          <c:val>
            <c:numRef>
              <c:f>'Analysis '!$E$17:$E$27</c:f>
              <c:numCache>
                <c:formatCode>General</c:formatCode>
                <c:ptCount val="10"/>
                <c:pt idx="0">
                  <c:v>58814995</c:v>
                </c:pt>
                <c:pt idx="1">
                  <c:v>55251067</c:v>
                </c:pt>
                <c:pt idx="2">
                  <c:v>22282457</c:v>
                </c:pt>
                <c:pt idx="3">
                  <c:v>23246322</c:v>
                </c:pt>
                <c:pt idx="4">
                  <c:v>63405319</c:v>
                </c:pt>
                <c:pt idx="5">
                  <c:v>23355500</c:v>
                </c:pt>
                <c:pt idx="6">
                  <c:v>28547250</c:v>
                </c:pt>
                <c:pt idx="7">
                  <c:v>45307229</c:v>
                </c:pt>
                <c:pt idx="8">
                  <c:v>26330718</c:v>
                </c:pt>
                <c:pt idx="9">
                  <c:v>32038834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B-4D50-BF05-B3E81C1C0CE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[adidas analysis(AutoRecovered).xlsx]Analysis !Sales by Sales Method 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 Method </a:t>
            </a:r>
          </a:p>
        </c:rich>
      </c:tx>
      <c:layout>
        <c:manualLayout>
          <c:xMode val="edge"/>
          <c:yMode val="edge"/>
          <c:x val="0.39015929984488507"/>
          <c:y val="0.10470476904672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'Analysis '!$E$29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'Analysis '!$D$30:$D$33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'Analysis '!$E$30:$E$33</c:f>
              <c:numCache>
                <c:formatCode>\$#,##0.00;\(\$#,##0.00\);\$#,##0.00</c:formatCode>
                <c:ptCount val="3"/>
                <c:pt idx="0">
                  <c:v>352834000</c:v>
                </c:pt>
                <c:pt idx="1">
                  <c:v>241727084</c:v>
                </c:pt>
                <c:pt idx="2">
                  <c:v>290527549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0-46E0-A13A-E933393A9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0746487"/>
        <c:axId val="410748647"/>
        <c:axId val="0"/>
      </c:bar3DChart>
      <c:catAx>
        <c:axId val="410746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48647"/>
        <c:crosses val="autoZero"/>
        <c:auto val="1"/>
        <c:lblAlgn val="ctr"/>
        <c:lblOffset val="100"/>
        <c:noMultiLvlLbl val="0"/>
      </c:catAx>
      <c:valAx>
        <c:axId val="410748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46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[adidas analysis(AutoRecovered).xlsx]Analysis !Sales &amp; Profit Trend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50000"/>
                  </a:schemeClr>
                </a:solidFill>
              </a:rPr>
              <a:t>Sales &amp; Profit Trend</a:t>
            </a:r>
          </a:p>
        </c:rich>
      </c:tx>
      <c:layout>
        <c:manualLayout>
          <c:xMode val="edge"/>
          <c:yMode val="edge"/>
          <c:x val="0.29656361165514211"/>
          <c:y val="8.56310591233899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799124126338141"/>
          <c:y val="0.28821461092873601"/>
          <c:w val="0.70767667384273591"/>
          <c:h val="0.38476389430912972"/>
        </c:manualLayout>
      </c:layout>
      <c:lineChart>
        <c:grouping val="stacked"/>
        <c:varyColors val="0"/>
        <c:ser>
          <c:idx val="0"/>
          <c:order val="0"/>
          <c:tx>
            <c:strRef>
              <c:f>'Analysis '!$E$1</c:f>
              <c:strCache>
                <c:ptCount val="1"/>
                <c:pt idx="0">
                  <c:v>TotalSales</c:v>
                </c:pt>
              </c:strCache>
            </c:strRef>
          </c:tx>
          <c:spPr>
            <a:ln w="34925" cap="rnd">
              <a:solidFill>
                <a:schemeClr val="accent4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shade val="7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'Analysis '!$D$2:$D$4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'Analysis '!$E$2:$E$4</c:f>
              <c:numCache>
                <c:formatCode>General</c:formatCode>
                <c:ptCount val="2"/>
                <c:pt idx="0">
                  <c:v>176353706</c:v>
                </c:pt>
                <c:pt idx="1">
                  <c:v>708734927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BD-48A5-9457-D8F6C30DB523}"/>
            </c:ext>
          </c:extLst>
        </c:ser>
        <c:ser>
          <c:idx val="1"/>
          <c:order val="1"/>
          <c:tx>
            <c:strRef>
              <c:f>'Analysis '!$F$1</c:f>
              <c:strCache>
                <c:ptCount val="1"/>
                <c:pt idx="0">
                  <c:v>Total Profit</c:v>
                </c:pt>
              </c:strCache>
            </c:strRef>
          </c:tx>
          <c:spPr>
            <a:ln w="34925" cap="rnd">
              <a:solidFill>
                <a:schemeClr val="accent4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tint val="77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'Analysis '!$D$2:$D$4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'Analysis '!$F$2:$F$4</c:f>
              <c:numCache>
                <c:formatCode>General</c:formatCode>
                <c:ptCount val="2"/>
                <c:pt idx="0">
                  <c:v>61117713.159999996</c:v>
                </c:pt>
                <c:pt idx="1">
                  <c:v>264425516.49000001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BD-48A5-9457-D8F6C30DB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16135"/>
        <c:axId val="77116855"/>
      </c:lineChart>
      <c:catAx>
        <c:axId val="77116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6855"/>
        <c:crosses val="autoZero"/>
        <c:auto val="1"/>
        <c:lblAlgn val="ctr"/>
        <c:lblOffset val="100"/>
        <c:noMultiLvlLbl val="0"/>
      </c:catAx>
      <c:valAx>
        <c:axId val="77116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61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[adidas analysis(AutoRecovered).xlsx]Analysis !Top Products 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>
                    <a:lumMod val="50000"/>
                  </a:schemeClr>
                </a:solidFill>
              </a:rPr>
              <a:t>Top Performing Products</a:t>
            </a:r>
          </a:p>
        </c:rich>
      </c:tx>
      <c:layout>
        <c:manualLayout>
          <c:xMode val="edge"/>
          <c:yMode val="edge"/>
          <c:x val="0.14566493920402807"/>
          <c:y val="9.6203626409163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'Analysis '!$E$7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'Analysis '!$D$8:$D$14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'Analysis '!$E$8:$E$14</c:f>
              <c:numCache>
                <c:formatCode>General</c:formatCode>
                <c:ptCount val="6"/>
                <c:pt idx="0">
                  <c:v>121769511</c:v>
                </c:pt>
                <c:pt idx="1">
                  <c:v>150705588</c:v>
                </c:pt>
                <c:pt idx="2">
                  <c:v>205292112</c:v>
                </c:pt>
                <c:pt idx="3">
                  <c:v>176343839</c:v>
                </c:pt>
                <c:pt idx="4">
                  <c:v>104935462</c:v>
                </c:pt>
                <c:pt idx="5">
                  <c:v>126042121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3-46F0-BEAF-FAEADFF67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111095"/>
        <c:axId val="77112535"/>
        <c:axId val="0"/>
      </c:bar3DChart>
      <c:catAx>
        <c:axId val="77111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2535"/>
        <c:crosses val="autoZero"/>
        <c:auto val="1"/>
        <c:lblAlgn val="ctr"/>
        <c:lblOffset val="100"/>
        <c:noMultiLvlLbl val="0"/>
      </c:catAx>
      <c:valAx>
        <c:axId val="77112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1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[adidas analysis(AutoRecovered).xlsx]Analysis !Top Region by Sales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50000"/>
                  </a:schemeClr>
                </a:solidFill>
              </a:rPr>
              <a:t>Top Region by Sales</a:t>
            </a:r>
          </a:p>
        </c:rich>
      </c:tx>
      <c:layout>
        <c:manualLayout>
          <c:xMode val="edge"/>
          <c:yMode val="edge"/>
          <c:x val="0.23349094390496472"/>
          <c:y val="6.4963985325697929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9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757052389176741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42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>
              <a:shade val="5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>
              <a:shade val="6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>
              <a:shade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>
              <a:tint val="9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>
              <a:tint val="81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>
              <a:tint val="69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>
              <a:tint val="5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>
              <a:tint val="4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shade val="42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>
              <a:shade val="5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>
              <a:shade val="6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>
              <a:shade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>
              <a:shade val="9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757052389176741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tint val="9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>
              <a:tint val="81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>
              <a:tint val="69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>
              <a:tint val="5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>
              <a:tint val="4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shade val="42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>
              <a:shade val="5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>
              <a:shade val="6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>
              <a:shade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>
              <a:shade val="9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757052389176741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tint val="9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>
              <a:tint val="81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>
              <a:tint val="69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>
              <a:tint val="5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>
              <a:tint val="4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'Analysis '!$E$16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>
                  <a:shade val="42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DA-472A-BBF8-F279B365177D}"/>
              </c:ext>
            </c:extLst>
          </c:dPt>
          <c:dPt>
            <c:idx val="1"/>
            <c:bubble3D val="0"/>
            <c:spPr>
              <a:solidFill>
                <a:schemeClr val="accent1">
                  <a:shade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DA-472A-BBF8-F279B365177D}"/>
              </c:ext>
            </c:extLst>
          </c:dPt>
          <c:dPt>
            <c:idx val="2"/>
            <c:bubble3D val="0"/>
            <c:spPr>
              <a:solidFill>
                <a:schemeClr val="accent1">
                  <a:shade val="6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9DA-472A-BBF8-F279B365177D}"/>
              </c:ext>
            </c:extLst>
          </c:dPt>
          <c:dPt>
            <c:idx val="3"/>
            <c:bubble3D val="0"/>
            <c:spPr>
              <a:solidFill>
                <a:schemeClr val="accent1">
                  <a:shade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9DA-472A-BBF8-F279B365177D}"/>
              </c:ext>
            </c:extLst>
          </c:dPt>
          <c:dPt>
            <c:idx val="4"/>
            <c:bubble3D val="0"/>
            <c:spPr>
              <a:solidFill>
                <a:schemeClr val="accent1">
                  <a:shade val="9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9DA-472A-BBF8-F279B365177D}"/>
              </c:ext>
            </c:extLst>
          </c:dPt>
          <c:dPt>
            <c:idx val="5"/>
            <c:bubble3D val="0"/>
            <c:spPr>
              <a:solidFill>
                <a:schemeClr val="accent1">
                  <a:tint val="9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9DA-472A-BBF8-F279B365177D}"/>
              </c:ext>
            </c:extLst>
          </c:dPt>
          <c:dPt>
            <c:idx val="6"/>
            <c:bubble3D val="0"/>
            <c:spPr>
              <a:solidFill>
                <a:schemeClr val="accent1">
                  <a:tint val="81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9DA-472A-BBF8-F279B365177D}"/>
              </c:ext>
            </c:extLst>
          </c:dPt>
          <c:dPt>
            <c:idx val="7"/>
            <c:bubble3D val="0"/>
            <c:spPr>
              <a:solidFill>
                <a:schemeClr val="accent1">
                  <a:tint val="69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9DA-472A-BBF8-F279B365177D}"/>
              </c:ext>
            </c:extLst>
          </c:dPt>
          <c:dPt>
            <c:idx val="8"/>
            <c:bubble3D val="0"/>
            <c:spPr>
              <a:solidFill>
                <a:schemeClr val="accent1">
                  <a:tint val="5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9DA-472A-BBF8-F279B365177D}"/>
              </c:ext>
            </c:extLst>
          </c:dPt>
          <c:dPt>
            <c:idx val="9"/>
            <c:bubble3D val="0"/>
            <c:spPr>
              <a:solidFill>
                <a:schemeClr val="accent1">
                  <a:tint val="4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9DA-472A-BBF8-F279B365177D}"/>
              </c:ext>
            </c:extLst>
          </c:dPt>
          <c:dLbls>
            <c:dLbl>
              <c:idx val="4"/>
              <c:layout>
                <c:manualLayout>
                  <c:x val="-5.7570523891767415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9DA-472A-BBF8-F279B36517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'!$D$17:$D$27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Hawaii</c:v>
                </c:pt>
                <c:pt idx="3">
                  <c:v>Louisiana</c:v>
                </c:pt>
                <c:pt idx="4">
                  <c:v>New York</c:v>
                </c:pt>
                <c:pt idx="5">
                  <c:v>North Carolina</c:v>
                </c:pt>
                <c:pt idx="6">
                  <c:v>South Carolina</c:v>
                </c:pt>
                <c:pt idx="7">
                  <c:v>Texas</c:v>
                </c:pt>
                <c:pt idx="8">
                  <c:v>Washington</c:v>
                </c:pt>
                <c:pt idx="9">
                  <c:v>(blank)</c:v>
                </c:pt>
              </c:strCache>
            </c:strRef>
          </c:cat>
          <c:val>
            <c:numRef>
              <c:f>'Analysis '!$E$17:$E$27</c:f>
              <c:numCache>
                <c:formatCode>General</c:formatCode>
                <c:ptCount val="10"/>
                <c:pt idx="0">
                  <c:v>58814995</c:v>
                </c:pt>
                <c:pt idx="1">
                  <c:v>55251067</c:v>
                </c:pt>
                <c:pt idx="2">
                  <c:v>22282457</c:v>
                </c:pt>
                <c:pt idx="3">
                  <c:v>23246322</c:v>
                </c:pt>
                <c:pt idx="4">
                  <c:v>63405319</c:v>
                </c:pt>
                <c:pt idx="5">
                  <c:v>23355500</c:v>
                </c:pt>
                <c:pt idx="6">
                  <c:v>28547250</c:v>
                </c:pt>
                <c:pt idx="7">
                  <c:v>45307229</c:v>
                </c:pt>
                <c:pt idx="8">
                  <c:v>26330718</c:v>
                </c:pt>
                <c:pt idx="9">
                  <c:v>32038834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9DA-472A-BBF8-F279B365177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[adidas analysis(AutoRecovered).xlsx]Analysis !Sales by Sales Method 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>
                    <a:lumMod val="50000"/>
                  </a:schemeClr>
                </a:solidFill>
              </a:rPr>
              <a:t>Sales by Sales Method </a:t>
            </a:r>
          </a:p>
        </c:rich>
      </c:tx>
      <c:layout>
        <c:manualLayout>
          <c:xMode val="edge"/>
          <c:yMode val="edge"/>
          <c:x val="0.19355512866521712"/>
          <c:y val="9.52079173863950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2758316388960912"/>
          <c:y val="0.25791168961022731"/>
          <c:w val="0.55436368764129784"/>
          <c:h val="0.46787865802488976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'Analysis '!$E$29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'Analysis '!$D$30:$D$33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'Analysis '!$E$30:$E$33</c:f>
              <c:numCache>
                <c:formatCode>\$#,##0.00;\(\$#,##0.00\);\$#,##0.00</c:formatCode>
                <c:ptCount val="3"/>
                <c:pt idx="0">
                  <c:v>352834000</c:v>
                </c:pt>
                <c:pt idx="1">
                  <c:v>241727084</c:v>
                </c:pt>
                <c:pt idx="2">
                  <c:v>290527549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C-4E4A-A59D-4B0A0F32D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0746487"/>
        <c:axId val="410748647"/>
        <c:axId val="0"/>
      </c:bar3DChart>
      <c:catAx>
        <c:axId val="410746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48647"/>
        <c:crosses val="autoZero"/>
        <c:auto val="1"/>
        <c:lblAlgn val="ctr"/>
        <c:lblOffset val="100"/>
        <c:noMultiLvlLbl val="0"/>
      </c:catAx>
      <c:valAx>
        <c:axId val="410748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46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chart" Target="../charts/chart8.xml"/><Relationship Id="rId3" Type="http://schemas.openxmlformats.org/officeDocument/2006/relationships/image" Target="../media/image5.png"/><Relationship Id="rId7" Type="http://schemas.openxmlformats.org/officeDocument/2006/relationships/image" Target="../media/image8.emf"/><Relationship Id="rId12" Type="http://schemas.openxmlformats.org/officeDocument/2006/relationships/chart" Target="../charts/chart7.xml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7.emf"/><Relationship Id="rId11" Type="http://schemas.openxmlformats.org/officeDocument/2006/relationships/chart" Target="../charts/chart6.xml"/><Relationship Id="rId5" Type="http://schemas.openxmlformats.org/officeDocument/2006/relationships/image" Target="../media/image6.png"/><Relationship Id="rId10" Type="http://schemas.openxmlformats.org/officeDocument/2006/relationships/chart" Target="../charts/chart5.xml"/><Relationship Id="rId4" Type="http://schemas.openxmlformats.org/officeDocument/2006/relationships/hyperlink" Target="#'Home '!A1"/><Relationship Id="rId9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0</xdr:row>
      <xdr:rowOff>152400</xdr:rowOff>
    </xdr:from>
    <xdr:to>
      <xdr:col>13</xdr:col>
      <xdr:colOff>487680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EC0AD2-A86E-2BF7-66CA-D6A8C7CC3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</xdr:colOff>
      <xdr:row>16</xdr:row>
      <xdr:rowOff>140970</xdr:rowOff>
    </xdr:from>
    <xdr:to>
      <xdr:col>13</xdr:col>
      <xdr:colOff>350520</xdr:colOff>
      <xdr:row>31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98491B-1CCC-DAC8-158C-4F812F89B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815340</xdr:colOff>
      <xdr:row>33</xdr:row>
      <xdr:rowOff>30480</xdr:rowOff>
    </xdr:from>
    <xdr:to>
      <xdr:col>13</xdr:col>
      <xdr:colOff>137160</xdr:colOff>
      <xdr:row>49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A237DC-9DC4-BE96-D9E6-935DAE637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114300</xdr:colOff>
      <xdr:row>49</xdr:row>
      <xdr:rowOff>140970</xdr:rowOff>
    </xdr:from>
    <xdr:to>
      <xdr:col>13</xdr:col>
      <xdr:colOff>243840</xdr:colOff>
      <xdr:row>65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62EF85-A22E-A759-9858-F1150D0D9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541020</xdr:colOff>
      <xdr:row>1</xdr:row>
      <xdr:rowOff>15240</xdr:rowOff>
    </xdr:from>
    <xdr:to>
      <xdr:col>15</xdr:col>
      <xdr:colOff>563880</xdr:colOff>
      <xdr:row>18</xdr:row>
      <xdr:rowOff>60960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EAC37A0-E404-4B01-6EAD-86BD451C75FE}"/>
            </a:ext>
          </a:extLst>
        </xdr:cNvPr>
        <xdr:cNvSpPr/>
      </xdr:nvSpPr>
      <xdr:spPr>
        <a:xfrm>
          <a:off x="2979420" y="198120"/>
          <a:ext cx="6728460" cy="315468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360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US" sz="3600">
              <a:solidFill>
                <a:schemeClr val="tx2">
                  <a:lumMod val="75000"/>
                  <a:lumOff val="25000"/>
                </a:schemeClr>
              </a:solidFill>
            </a:rPr>
            <a:t>      </a:t>
          </a:r>
          <a:r>
            <a:rPr lang="en-US" sz="3600" b="1">
              <a:solidFill>
                <a:schemeClr val="bg2">
                  <a:lumMod val="50000"/>
                </a:schemeClr>
              </a:solidFill>
            </a:rPr>
            <a:t>Welcome</a:t>
          </a:r>
          <a:r>
            <a:rPr lang="en-US" sz="3600" b="1" baseline="0">
              <a:solidFill>
                <a:schemeClr val="bg2">
                  <a:lumMod val="50000"/>
                </a:schemeClr>
              </a:solidFill>
            </a:rPr>
            <a:t> To My Dashboard</a:t>
          </a:r>
          <a:endParaRPr lang="ar-EG" sz="3600" b="1" baseline="0">
            <a:solidFill>
              <a:schemeClr val="bg2">
                <a:lumMod val="50000"/>
              </a:schemeClr>
            </a:solidFill>
          </a:endParaRPr>
        </a:p>
        <a:p>
          <a:pPr algn="ctr"/>
          <a:r>
            <a:rPr lang="ar-EG" sz="2800" b="0" i="0" baseline="0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800" b="0" i="0" baseline="0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en-US" sz="2800" b="1" i="0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Adidas Performance Dashboard</a:t>
          </a:r>
          <a:endParaRPr lang="ar-EG" sz="7200" b="1" baseline="0">
            <a:solidFill>
              <a:schemeClr val="bg2">
                <a:lumMod val="50000"/>
              </a:schemeClr>
            </a:solidFill>
          </a:endParaRPr>
        </a:p>
        <a:p>
          <a:pPr algn="ctr"/>
          <a:endParaRPr lang="en-US" sz="800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5</xdr:col>
      <xdr:colOff>528216</xdr:colOff>
      <xdr:row>5</xdr:row>
      <xdr:rowOff>116651</xdr:rowOff>
    </xdr:from>
    <xdr:to>
      <xdr:col>6</xdr:col>
      <xdr:colOff>294212</xdr:colOff>
      <xdr:row>7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7B8835-F511-15D9-3CDB-2D052A475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6216" y="1031051"/>
          <a:ext cx="375596" cy="355789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7</xdr:row>
      <xdr:rowOff>175260</xdr:rowOff>
    </xdr:from>
    <xdr:to>
      <xdr:col>6</xdr:col>
      <xdr:colOff>358140</xdr:colOff>
      <xdr:row>10</xdr:row>
      <xdr:rowOff>137160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DBE590-BB10-DAA2-C3BB-87D54FDF1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455420"/>
          <a:ext cx="510540" cy="510540"/>
        </a:xfrm>
        <a:prstGeom prst="rect">
          <a:avLst/>
        </a:prstGeom>
      </xdr:spPr>
    </xdr:pic>
    <xdr:clientData/>
  </xdr:twoCellAnchor>
  <xdr:twoCellAnchor>
    <xdr:from>
      <xdr:col>9</xdr:col>
      <xdr:colOff>205740</xdr:colOff>
      <xdr:row>12</xdr:row>
      <xdr:rowOff>0</xdr:rowOff>
    </xdr:from>
    <xdr:to>
      <xdr:col>11</xdr:col>
      <xdr:colOff>205740</xdr:colOff>
      <xdr:row>14</xdr:row>
      <xdr:rowOff>144780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23D1A9-50F7-DF02-35C3-34AF2BE765CA}"/>
            </a:ext>
          </a:extLst>
        </xdr:cNvPr>
        <xdr:cNvSpPr/>
      </xdr:nvSpPr>
      <xdr:spPr>
        <a:xfrm>
          <a:off x="5692140" y="2194560"/>
          <a:ext cx="1219200" cy="5105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Go</a:t>
          </a:r>
          <a:r>
            <a:rPr lang="en-US" sz="1100" baseline="0"/>
            <a:t> To Dashboard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533400</xdr:colOff>
      <xdr:row>27</xdr:row>
      <xdr:rowOff>53340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CBE83897-9B40-3B68-D425-DC12FB719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3944600" cy="4991100"/>
        </a:xfrm>
        <a:prstGeom prst="rect">
          <a:avLst/>
        </a:prstGeom>
      </xdr:spPr>
    </xdr:pic>
    <xdr:clientData/>
  </xdr:twoCellAnchor>
  <xdr:twoCellAnchor editAs="oneCell">
    <xdr:from>
      <xdr:col>7</xdr:col>
      <xdr:colOff>342901</xdr:colOff>
      <xdr:row>0</xdr:row>
      <xdr:rowOff>76200</xdr:rowOff>
    </xdr:from>
    <xdr:to>
      <xdr:col>8</xdr:col>
      <xdr:colOff>297180</xdr:colOff>
      <xdr:row>3</xdr:row>
      <xdr:rowOff>99562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ABB94C-0095-DB4D-FC4C-770B92385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1" y="76200"/>
          <a:ext cx="563879" cy="572002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10</xdr:row>
      <xdr:rowOff>22860</xdr:rowOff>
    </xdr:from>
    <xdr:to>
      <xdr:col>1</xdr:col>
      <xdr:colOff>403860</xdr:colOff>
      <xdr:row>13</xdr:row>
      <xdr:rowOff>144780</xdr:rowOff>
    </xdr:to>
    <xdr:pic>
      <xdr:nvPicPr>
        <xdr:cNvPr id="11" name="Picture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C2E5DF-2685-9F18-291D-A5FA1F7EE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851660"/>
          <a:ext cx="670560" cy="670560"/>
        </a:xfrm>
        <a:prstGeom prst="rect">
          <a:avLst/>
        </a:prstGeom>
      </xdr:spPr>
    </xdr:pic>
    <xdr:clientData/>
  </xdr:twoCellAnchor>
  <xdr:twoCellAnchor>
    <xdr:from>
      <xdr:col>7</xdr:col>
      <xdr:colOff>441960</xdr:colOff>
      <xdr:row>0</xdr:row>
      <xdr:rowOff>30480</xdr:rowOff>
    </xdr:from>
    <xdr:to>
      <xdr:col>16</xdr:col>
      <xdr:colOff>350520</xdr:colOff>
      <xdr:row>4</xdr:row>
      <xdr:rowOff>38100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9367A5A-529D-5D92-BA86-08633CA06C12}"/>
            </a:ext>
          </a:extLst>
        </xdr:cNvPr>
        <xdr:cNvSpPr/>
      </xdr:nvSpPr>
      <xdr:spPr>
        <a:xfrm>
          <a:off x="4709160" y="30480"/>
          <a:ext cx="5394960" cy="7391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1">
              <a:solidFill>
                <a:schemeClr val="accent1">
                  <a:lumMod val="50000"/>
                </a:schemeClr>
              </a:solidFill>
            </a:rPr>
            <a:t>Adidas</a:t>
          </a:r>
          <a:r>
            <a:rPr lang="en-US" sz="2800" b="1" baseline="0">
              <a:solidFill>
                <a:schemeClr val="accent1">
                  <a:lumMod val="50000"/>
                </a:schemeClr>
              </a:solidFill>
            </a:rPr>
            <a:t> Preformance Dashboard</a:t>
          </a:r>
          <a:endParaRPr lang="en-US" sz="28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60960</xdr:colOff>
      <xdr:row>3</xdr:row>
      <xdr:rowOff>106680</xdr:rowOff>
    </xdr:from>
    <xdr:to>
      <xdr:col>7</xdr:col>
      <xdr:colOff>205740</xdr:colOff>
      <xdr:row>9</xdr:row>
      <xdr:rowOff>45720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9F48071F-26F7-3F93-7B22-2A8A80E9A3C3}"/>
            </a:ext>
          </a:extLst>
        </xdr:cNvPr>
        <xdr:cNvSpPr/>
      </xdr:nvSpPr>
      <xdr:spPr>
        <a:xfrm>
          <a:off x="1889760" y="655320"/>
          <a:ext cx="2583180" cy="1036320"/>
        </a:xfrm>
        <a:prstGeom prst="roundRect">
          <a:avLst/>
        </a:prstGeom>
        <a:noFill/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accent1">
                  <a:lumMod val="50000"/>
                </a:schemeClr>
              </a:solidFill>
            </a:rPr>
            <a:t>Total</a:t>
          </a:r>
          <a:r>
            <a:rPr lang="en-US" sz="3200" b="1" baseline="0">
              <a:solidFill>
                <a:schemeClr val="accent1">
                  <a:lumMod val="50000"/>
                </a:schemeClr>
              </a:solidFill>
            </a:rPr>
            <a:t> Sales</a:t>
          </a:r>
          <a:endParaRPr lang="en-US" sz="32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160020</xdr:colOff>
      <xdr:row>3</xdr:row>
      <xdr:rowOff>99060</xdr:rowOff>
    </xdr:from>
    <xdr:to>
      <xdr:col>12</xdr:col>
      <xdr:colOff>304800</xdr:colOff>
      <xdr:row>9</xdr:row>
      <xdr:rowOff>38100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BEE5249-FC07-4596-9833-9E548B37F42B}"/>
            </a:ext>
          </a:extLst>
        </xdr:cNvPr>
        <xdr:cNvSpPr/>
      </xdr:nvSpPr>
      <xdr:spPr>
        <a:xfrm>
          <a:off x="5036820" y="647700"/>
          <a:ext cx="2583180" cy="1036320"/>
        </a:xfrm>
        <a:prstGeom prst="roundRect">
          <a:avLst/>
        </a:prstGeom>
        <a:noFill/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accent1">
                  <a:lumMod val="50000"/>
                </a:schemeClr>
              </a:solidFill>
            </a:rPr>
            <a:t>Total Profit</a:t>
          </a:r>
        </a:p>
      </xdr:txBody>
    </xdr:sp>
    <xdr:clientData/>
  </xdr:twoCellAnchor>
  <xdr:twoCellAnchor>
    <xdr:from>
      <xdr:col>13</xdr:col>
      <xdr:colOff>198120</xdr:colOff>
      <xdr:row>3</xdr:row>
      <xdr:rowOff>99060</xdr:rowOff>
    </xdr:from>
    <xdr:to>
      <xdr:col>17</xdr:col>
      <xdr:colOff>342900</xdr:colOff>
      <xdr:row>9</xdr:row>
      <xdr:rowOff>38100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F2EC074B-7D9D-470B-B908-77D668484B69}"/>
            </a:ext>
          </a:extLst>
        </xdr:cNvPr>
        <xdr:cNvSpPr/>
      </xdr:nvSpPr>
      <xdr:spPr>
        <a:xfrm>
          <a:off x="8122920" y="647700"/>
          <a:ext cx="2583180" cy="1036320"/>
        </a:xfrm>
        <a:prstGeom prst="roundRect">
          <a:avLst/>
        </a:prstGeom>
        <a:noFill/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accent1">
                  <a:lumMod val="50000"/>
                </a:schemeClr>
              </a:solidFill>
            </a:rPr>
            <a:t>Profit</a:t>
          </a:r>
          <a:r>
            <a:rPr lang="en-US" sz="3200" b="1" baseline="0">
              <a:solidFill>
                <a:schemeClr val="accent1">
                  <a:lumMod val="50000"/>
                </a:schemeClr>
              </a:solidFill>
            </a:rPr>
            <a:t> Margin</a:t>
          </a:r>
          <a:endParaRPr lang="en-US" sz="32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18</xdr:col>
      <xdr:colOff>144780</xdr:colOff>
      <xdr:row>3</xdr:row>
      <xdr:rowOff>99060</xdr:rowOff>
    </xdr:from>
    <xdr:to>
      <xdr:col>22</xdr:col>
      <xdr:colOff>289560</xdr:colOff>
      <xdr:row>9</xdr:row>
      <xdr:rowOff>38100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A4CD1892-96CD-4202-92F5-5CAF246D0619}"/>
            </a:ext>
          </a:extLst>
        </xdr:cNvPr>
        <xdr:cNvSpPr/>
      </xdr:nvSpPr>
      <xdr:spPr>
        <a:xfrm>
          <a:off x="11117580" y="647700"/>
          <a:ext cx="2583180" cy="1036320"/>
        </a:xfrm>
        <a:prstGeom prst="roundRect">
          <a:avLst/>
        </a:prstGeom>
        <a:noFill/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200" b="1">
              <a:solidFill>
                <a:schemeClr val="accent1">
                  <a:lumMod val="50000"/>
                </a:schemeClr>
              </a:solidFill>
            </a:rPr>
            <a:t>Total Unit</a:t>
          </a:r>
        </a:p>
      </xdr:txBody>
    </xdr:sp>
    <xdr:clientData/>
  </xdr:twoCellAnchor>
  <xdr:twoCellAnchor editAs="oneCell">
    <xdr:from>
      <xdr:col>3</xdr:col>
      <xdr:colOff>510540</xdr:colOff>
      <xdr:row>6</xdr:row>
      <xdr:rowOff>121919</xdr:rowOff>
    </xdr:from>
    <xdr:to>
      <xdr:col>6</xdr:col>
      <xdr:colOff>327660</xdr:colOff>
      <xdr:row>9</xdr:row>
      <xdr:rowOff>25455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E28EB13-CC92-5CD8-09E6-45A886D201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alphaModFix/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9340" y="1219199"/>
          <a:ext cx="1645920" cy="452176"/>
        </a:xfrm>
        <a:prstGeom prst="rect">
          <a:avLst/>
        </a:prstGeom>
        <a:noFill/>
        <a:ln w="0">
          <a:noFill/>
        </a:ln>
        <a:effectLst>
          <a:outerShdw blurRad="76200" dist="50800" dir="5400000" sx="1000" sy="1000" algn="ctr" rotWithShape="0">
            <a:srgbClr val="000000"/>
          </a:outerShdw>
        </a:effectLst>
      </xdr:spPr>
    </xdr:pic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76200</xdr:colOff>
      <xdr:row>32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B8BD21DA-16C4-621A-1FDC-FE139F125C6A}"/>
            </a:ext>
          </a:extLst>
        </xdr:cNvPr>
        <xdr:cNvSpPr txBox="1">
          <a:spLocks noChangeArrowheads="1"/>
        </xdr:cNvSpPr>
      </xdr:nvSpPr>
      <xdr:spPr bwMode="auto">
        <a:xfrm>
          <a:off x="6096000" y="530352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 editAs="oneCell">
    <xdr:from>
      <xdr:col>8</xdr:col>
      <xdr:colOff>502919</xdr:colOff>
      <xdr:row>6</xdr:row>
      <xdr:rowOff>121920</xdr:rowOff>
    </xdr:from>
    <xdr:to>
      <xdr:col>11</xdr:col>
      <xdr:colOff>558392</xdr:colOff>
      <xdr:row>8</xdr:row>
      <xdr:rowOff>173035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33367A-F727-5E2C-D6B5-D50039E0F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9719" y="1219200"/>
          <a:ext cx="1884273" cy="41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167640</xdr:colOff>
      <xdr:row>6</xdr:row>
      <xdr:rowOff>118916</xdr:rowOff>
    </xdr:from>
    <xdr:to>
      <xdr:col>16</xdr:col>
      <xdr:colOff>190500</xdr:colOff>
      <xdr:row>9</xdr:row>
      <xdr:rowOff>7620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9BCE42-BF99-D29A-F4FB-BEA789581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2040" y="1216196"/>
          <a:ext cx="1242060" cy="437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129540</xdr:colOff>
      <xdr:row>6</xdr:row>
      <xdr:rowOff>88864</xdr:rowOff>
    </xdr:from>
    <xdr:to>
      <xdr:col>21</xdr:col>
      <xdr:colOff>266700</xdr:colOff>
      <xdr:row>9</xdr:row>
      <xdr:rowOff>17816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BB99D3-CCF0-A6D5-40E2-889A7D39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1940" y="1186144"/>
          <a:ext cx="1356360" cy="477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289560</xdr:colOff>
      <xdr:row>10</xdr:row>
      <xdr:rowOff>129540</xdr:rowOff>
    </xdr:from>
    <xdr:to>
      <xdr:col>7</xdr:col>
      <xdr:colOff>381000</xdr:colOff>
      <xdr:row>26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54A5567-C96F-4D89-BCFC-D26D21CF4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419100</xdr:colOff>
      <xdr:row>10</xdr:row>
      <xdr:rowOff>137160</xdr:rowOff>
    </xdr:from>
    <xdr:to>
      <xdr:col>12</xdr:col>
      <xdr:colOff>571500</xdr:colOff>
      <xdr:row>26</xdr:row>
      <xdr:rowOff>137160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C53366-506A-47AC-ACF2-028B8C3E7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10</xdr:row>
      <xdr:rowOff>144780</xdr:rowOff>
    </xdr:from>
    <xdr:to>
      <xdr:col>18</xdr:col>
      <xdr:colOff>22860</xdr:colOff>
      <xdr:row>26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1AF9C1A-27CD-40B7-887A-8E824753C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53340</xdr:colOff>
      <xdr:row>10</xdr:row>
      <xdr:rowOff>144780</xdr:rowOff>
    </xdr:from>
    <xdr:to>
      <xdr:col>22</xdr:col>
      <xdr:colOff>441960</xdr:colOff>
      <xdr:row>26</xdr:row>
      <xdr:rowOff>137160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C5A00C7-1DE0-4827-AF0F-125512AEC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08.984344444441" backgroundQuery="1" createdVersion="8" refreshedVersion="8" minRefreshableVersion="3" recordCount="0" supportSubquery="1" supportAdvancedDrill="1" xr:uid="{49B7B739-255C-4D79-860B-87BA763520A2}">
  <cacheSource type="external" connectionId="6"/>
  <cacheFields count="1">
    <cacheField name="[Measures].[TotalSales]" caption="TotalSales" numFmtId="0" hierarchy="28" level="32767"/>
  </cacheFields>
  <cacheHierarchies count="40">
    <cacheHierarchy uniqueName="[Dim_Date4].[Invoice Date]" caption="Invoice Date" attribute="1" time="1" defaultMemberUniqueName="[Dim_Date4].[Invoice Date].[All]" allUniqueName="[Dim_Date4].[Invoice Date].[All]" dimensionUniqueName="[Dim_Date4]" displayFolder="" count="0" memberValueDatatype="7" unbalanced="0"/>
    <cacheHierarchy uniqueName="[Dim_Date4].[Year]" caption="Year" attribute="1" defaultMemberUniqueName="[Dim_Date4].[Year].[All]" allUniqueName="[Dim_Date4].[Year].[All]" dimensionUniqueName="[Dim_Date4]" displayFolder="" count="0" memberValueDatatype="20" unbalanced="0"/>
    <cacheHierarchy uniqueName="[Dim_Date4].[Month]" caption="Month" attribute="1" defaultMemberUniqueName="[Dim_Date4].[Month].[All]" allUniqueName="[Dim_Date4].[Month].[All]" dimensionUniqueName="[Dim_Date4]" displayFolder="" count="0" memberValueDatatype="20" unbalanced="0"/>
    <cacheHierarchy uniqueName="[Dim_Date4].[Day]" caption="Day" attribute="1" defaultMemberUniqueName="[Dim_Date4].[Day].[All]" allUniqueName="[Dim_Date4].[Day].[All]" dimensionUniqueName="[Dim_Date4]" displayFolder="" count="0" memberValueDatatype="20" unbalanced="0"/>
    <cacheHierarchy uniqueName="[Dim_Date4].[Invoice Date (Year)]" caption="Invoice Date (Year)" attribute="1" defaultMemberUniqueName="[Dim_Date4].[Invoice Date (Year)].[All]" allUniqueName="[Dim_Date4].[Invoice Date (Year)].[All]" dimensionUniqueName="[Dim_Date4]" displayFolder="" count="0" memberValueDatatype="130" unbalanced="0"/>
    <cacheHierarchy uniqueName="[Dim_Date4].[Invoice Date (Quarter)]" caption="Invoice Date (Quarter)" attribute="1" defaultMemberUniqueName="[Dim_Date4].[Invoice Date (Quarter)].[All]" allUniqueName="[Dim_Date4].[Invoice Date (Quarter)].[All]" dimensionUniqueName="[Dim_Date4]" displayFolder="" count="0" memberValueDatatype="130" unbalanced="0"/>
    <cacheHierarchy uniqueName="[Dim_Date4].[Invoice Date (Month)]" caption="Invoice Date (Month)" attribute="1" defaultMemberUniqueName="[Dim_Date4].[Invoice Date (Month)].[All]" allUniqueName="[Dim_Date4].[Invoice Date (Month)].[All]" dimensionUniqueName="[Dim_Date4]" displayFolder="" count="0" memberValueDatatype="130" unbalanced="0"/>
    <cacheHierarchy uniqueName="[Dim_Loction3].[City]" caption="City" attribute="1" defaultMemberUniqueName="[Dim_Loction3].[City].[All]" allUniqueName="[Dim_Loction3].[City].[All]" dimensionUniqueName="[Dim_Loction3]" displayFolder="" count="0" memberValueDatatype="130" unbalanced="0"/>
    <cacheHierarchy uniqueName="[Dim_Loction3].[State]" caption="State" attribute="1" defaultMemberUniqueName="[Dim_Loction3].[State].[All]" allUniqueName="[Dim_Loction3].[State].[All]" dimensionUniqueName="[Dim_Loction3]" displayFolder="" count="0" memberValueDatatype="130" unbalanced="0"/>
    <cacheHierarchy uniqueName="[Dim_Loction3].[Region]" caption="Region" attribute="1" defaultMemberUniqueName="[Dim_Loction3].[Region].[All]" allUniqueName="[Dim_Loction3].[Region].[All]" dimensionUniqueName="[Dim_Loction3]" displayFolder="" count="0" memberValueDatatype="130" unbalanced="0"/>
    <cacheHierarchy uniqueName="[Dim_Product2].[Product]" caption="Product" attribute="1" defaultMemberUniqueName="[Dim_Product2].[Product].[All]" allUniqueName="[Dim_Product2].[Product].[All]" dimensionUniqueName="[Dim_Product2]" displayFolder="" count="0" memberValueDatatype="130" unbalanced="0"/>
    <cacheHierarchy uniqueName="[Dim_Product2].[Price per Unit]" caption="Price per Unit" attribute="1" defaultMemberUniqueName="[Dim_Product2].[Price per Unit].[All]" allUniqueName="[Dim_Product2].[Price per Unit].[All]" dimensionUniqueName="[Dim_Product2]" displayFolder="" count="0" memberValueDatatype="20" unbalanced="0"/>
    <cacheHierarchy uniqueName="[Dim_retailer1].[Retailer ID]" caption="Retailer ID" attribute="1" defaultMemberUniqueName="[Dim_retailer1].[Retailer ID].[All]" allUniqueName="[Dim_retailer1].[Retailer ID].[All]" dimensionUniqueName="[Dim_retailer1]" displayFolder="" count="0" memberValueDatatype="20" unbalanced="0"/>
    <cacheHierarchy uniqueName="[Dim_retailer1].[Retailer]" caption="Retailer" attribute="1" defaultMemberUniqueName="[Dim_retailer1].[Retailer].[All]" allUniqueName="[Dim_retailer1].[Retailer].[All]" dimensionUniqueName="[Dim_retailer1]" displayFolder="" count="0" memberValueDatatype="130" unbalanced="0"/>
    <cacheHierarchy uniqueName="[Fact_Sales_Adidas].[Retailer ID]" caption="Retailer ID" attribute="1" defaultMemberUniqueName="[Fact_Sales_Adidas].[Retailer ID].[All]" allUniqueName="[Fact_Sales_Adidas].[Retailer ID].[All]" dimensionUniqueName="[Fact_Sales_Adidas]" displayFolder="" count="0" memberValueDatatype="20" unbalanced="0"/>
    <cacheHierarchy uniqueName="[Fact_Sales_Adidas].[Invoice Date]" caption="Invoice Date" attribute="1" time="1" defaultMemberUniqueName="[Fact_Sales_Adidas].[Invoice Date].[All]" allUniqueName="[Fact_Sales_Adidas].[Invoice Date].[All]" dimensionUniqueName="[Fact_Sales_Adidas]" displayFolder="" count="0" memberValueDatatype="7" unbalanced="0"/>
    <cacheHierarchy uniqueName="[Fact_Sales_Adidas].[State]" caption="State" attribute="1" defaultMemberUniqueName="[Fact_Sales_Adidas].[State].[All]" allUniqueName="[Fact_Sales_Adidas].[State].[All]" dimensionUniqueName="[Fact_Sales_Adidas]" displayFolder="" count="0" memberValueDatatype="130" unbalanced="0"/>
    <cacheHierarchy uniqueName="[Fact_Sales_Adidas].[Product]" caption="Product" attribute="1" defaultMemberUniqueName="[Fact_Sales_Adidas].[Product].[All]" allUniqueName="[Fact_Sales_Adidas].[Product].[All]" dimensionUniqueName="[Fact_Sales_Adidas]" displayFolder="" count="0" memberValueDatatype="130" unbalanced="0"/>
    <cacheHierarchy uniqueName="[Fact_Sales_Adidas].[Units Sold]" caption="Units Sold" attribute="1" defaultMemberUniqueName="[Fact_Sales_Adidas].[Units Sold].[All]" allUniqueName="[Fact_Sales_Adidas].[Units Sold].[All]" dimensionUniqueName="[Fact_Sales_Adidas]" displayFolder="" count="0" memberValueDatatype="20" unbalanced="0"/>
    <cacheHierarchy uniqueName="[Fact_Sales_Adidas].[Total Sales]" caption="Total Sales" attribute="1" defaultMemberUniqueName="[Fact_Sales_Adidas].[Total Sales].[All]" allUniqueName="[Fact_Sales_Adidas].[Total Sales].[All]" dimensionUniqueName="[Fact_Sales_Adidas]" displayFolder="" count="0" memberValueDatatype="6" unbalanced="0"/>
    <cacheHierarchy uniqueName="[Fact_Sales_Adidas].[Operating Profit]" caption="Operating Profit" attribute="1" defaultMemberUniqueName="[Fact_Sales_Adidas].[Operating Profit].[All]" allUniqueName="[Fact_Sales_Adidas].[Operating Profit].[All]" dimensionUniqueName="[Fact_Sales_Adidas]" displayFolder="" count="0" memberValueDatatype="6" unbalanced="0"/>
    <cacheHierarchy uniqueName="[Fact_Sales_Adidas].[Operating Margin]" caption="Operating Margin" attribute="1" defaultMemberUniqueName="[Fact_Sales_Adidas].[Operating Margin].[All]" allUniqueName="[Fact_Sales_Adidas].[Operating Margin].[All]" dimensionUniqueName="[Fact_Sales_Adidas]" displayFolder="" count="0" memberValueDatatype="5" unbalanced="0"/>
    <cacheHierarchy uniqueName="[Fact_Sales_Adidas].[Sales Method]" caption="Sales Method" attribute="1" defaultMemberUniqueName="[Fact_Sales_Adidas].[Sales Method].[All]" allUniqueName="[Fact_Sales_Adidas].[Sales Method].[All]" dimensionUniqueName="[Fact_Sales_Adidas]" displayFolder="" count="0" memberValueDatatype="130" unbalanced="0"/>
    <cacheHierarchy uniqueName="[Fact_Sales_Adidas].[Revenue Per Unit]" caption="Revenue Per Unit" attribute="1" defaultMemberUniqueName="[Fact_Sales_Adidas].[Revenue Per Unit].[All]" allUniqueName="[Fact_Sales_Adidas].[Revenue Per Unit].[All]" dimensionUniqueName="[Fact_Sales_Adidas]" displayFolder="" count="0" memberValueDatatype="130" unbalanced="0"/>
    <cacheHierarchy uniqueName="[Fact_Sales_Adidas].[Profit Margin]" caption="Profit Margin" attribute="1" defaultMemberUniqueName="[Fact_Sales_Adidas].[Profit Margin].[All]" allUniqueName="[Fact_Sales_Adidas].[Profit Margin].[All]" dimensionUniqueName="[Fact_Sales_Adidas]" displayFolder="" count="0" memberValueDatatype="5" unbalanced="0"/>
    <cacheHierarchy uniqueName="[Fact_Sales_Adidas].[Profit per Unit]" caption="Profit per Unit" attribute="1" defaultMemberUniqueName="[Fact_Sales_Adidas].[Profit per Unit].[All]" allUniqueName="[Fact_Sales_Adidas].[Profit per Unit].[All]" dimensionUniqueName="[Fact_Sales_Adidas]" displayFolder="" count="0" memberValueDatatype="130" unbalanced="0"/>
    <cacheHierarchy uniqueName="[Dim_Date4].[Invoice Date (Month Index)]" caption="Invoice Date (Month Index)" attribute="1" defaultMemberUniqueName="[Dim_Date4].[Invoice Date (Month Index)].[All]" allUniqueName="[Dim_Date4].[Invoice Date (Month Index)].[All]" dimensionUniqueName="[Dim_Date4]" displayFolder="" count="0" memberValueDatatype="20" unbalanced="0" hidden="1"/>
    <cacheHierarchy uniqueName="[Measures].[Sum of Total Sales]" caption="Sum of Total Sales" measure="1" displayFolder="" measureGroup="Fact_Sales_Adida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Sales]" caption="TotalSales" measure="1" displayFolder="" measureGroup="Fact_Sales_Adidas" count="0" oneField="1">
      <fieldsUsage count="1">
        <fieldUsage x="0"/>
      </fieldsUsage>
    </cacheHierarchy>
    <cacheHierarchy uniqueName="[Measures].[Total Profit]" caption="Total Profit" measure="1" displayFolder="" measureGroup="Fact_Sales_Adidas" count="0"/>
    <cacheHierarchy uniqueName="[Measures].[ProfitMargin]" caption="ProfitMargin" measure="1" displayFolder="" measureGroup="Fact_Sales_Adidas" count="0"/>
    <cacheHierarchy uniqueName="[Measures].[Total Unit]" caption="Total Unit" measure="1" displayFolder="" measureGroup="Fact_Sales_Adidas" count="0"/>
    <cacheHierarchy uniqueName="[Measures].[avg price per unit]" caption="avg price per unit" measure="1" displayFolder="" measureGroup="Fact_Sales_Adidas" count="0"/>
    <cacheHierarchy uniqueName="[Measures].[Sales PY]" caption="Sales PY" measure="1" displayFolder="" measureGroup="Fact_Sales_Adidas" count="0"/>
    <cacheHierarchy uniqueName="[Measures].[__XL_Count Fact_Sales_Adidas]" caption="__XL_Count Fact_Sales_Adidas" measure="1" displayFolder="" measureGroup="Fact_Sales_Adidas" count="0" hidden="1"/>
    <cacheHierarchy uniqueName="[Measures].[__XL_Count Dim_retailer1]" caption="__XL_Count Dim_retailer1" measure="1" displayFolder="" measureGroup="Dim_retailer1" count="0" hidden="1"/>
    <cacheHierarchy uniqueName="[Measures].[__XL_Count Dim_Loction3]" caption="__XL_Count Dim_Loction3" measure="1" displayFolder="" measureGroup="Dim_Loction3" count="0" hidden="1"/>
    <cacheHierarchy uniqueName="[Measures].[__XL_Count Dim_Product2]" caption="__XL_Count Dim_Product2" measure="1" displayFolder="" measureGroup="Dim_Product2" count="0" hidden="1"/>
    <cacheHierarchy uniqueName="[Measures].[__XL_Count Dim_Date4]" caption="__XL_Count Dim_Date4" measure="1" displayFolder="" measureGroup="Dim_Date4" count="0" hidden="1"/>
    <cacheHierarchy uniqueName="[Measures].[__No measures defined]" caption="__No measures defined" measure="1" displayFolder="" count="0" hidden="1"/>
  </cacheHierarchies>
  <kpis count="0"/>
  <dimensions count="6">
    <dimension name="Dim_Date4" uniqueName="[Dim_Date4]" caption="Dim_Date4"/>
    <dimension name="Dim_Loction3" uniqueName="[Dim_Loction3]" caption="Dim_Loction3"/>
    <dimension name="Dim_Product2" uniqueName="[Dim_Product2]" caption="Dim_Product2"/>
    <dimension name="Dim_retailer1" uniqueName="[Dim_retailer1]" caption="Dim_retailer1"/>
    <dimension name="Fact_Sales_Adidas" uniqueName="[Fact_Sales_Adidas]" caption="Fact_Sales_Adidas"/>
    <dimension measure="1" name="Measures" uniqueName="[Measures]" caption="Measures"/>
  </dimensions>
  <measureGroups count="5">
    <measureGroup name="Dim_Date4" caption="Dim_Date4"/>
    <measureGroup name="Dim_Loction3" caption="Dim_Loction3"/>
    <measureGroup name="Dim_Product2" caption="Dim_Product2"/>
    <measureGroup name="Dim_retailer1" caption="Dim_retailer1"/>
    <measureGroup name="Fact_Sales_Adidas" caption="Fact_Sales_Adid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08.984346064812" backgroundQuery="1" createdVersion="8" refreshedVersion="8" minRefreshableVersion="3" recordCount="0" supportSubquery="1" supportAdvancedDrill="1" xr:uid="{3B0EC0FE-8081-4F69-85A0-6C1C9BCA49D3}">
  <cacheSource type="external" connectionId="6"/>
  <cacheFields count="2">
    <cacheField name="[Measures].[Sum of Total Sales]" caption="Sum of Total Sales" numFmtId="0" hierarchy="27" level="32767"/>
    <cacheField name="[Fact_Sales_Adidas].[Sales Method].[Sales Method]" caption="Sales Method" numFmtId="0" hierarchy="22" level="1">
      <sharedItems count="3">
        <s v="In-store"/>
        <s v="Online"/>
        <s v="Outlet"/>
      </sharedItems>
    </cacheField>
  </cacheFields>
  <cacheHierarchies count="40">
    <cacheHierarchy uniqueName="[Dim_Date4].[Invoice Date]" caption="Invoice Date" attribute="1" time="1" defaultMemberUniqueName="[Dim_Date4].[Invoice Date].[All]" allUniqueName="[Dim_Date4].[Invoice Date].[All]" dimensionUniqueName="[Dim_Date4]" displayFolder="" count="0" memberValueDatatype="7" unbalanced="0"/>
    <cacheHierarchy uniqueName="[Dim_Date4].[Year]" caption="Year" attribute="1" defaultMemberUniqueName="[Dim_Date4].[Year].[All]" allUniqueName="[Dim_Date4].[Year].[All]" dimensionUniqueName="[Dim_Date4]" displayFolder="" count="0" memberValueDatatype="20" unbalanced="0"/>
    <cacheHierarchy uniqueName="[Dim_Date4].[Month]" caption="Month" attribute="1" defaultMemberUniqueName="[Dim_Date4].[Month].[All]" allUniqueName="[Dim_Date4].[Month].[All]" dimensionUniqueName="[Dim_Date4]" displayFolder="" count="0" memberValueDatatype="20" unbalanced="0"/>
    <cacheHierarchy uniqueName="[Dim_Date4].[Day]" caption="Day" attribute="1" defaultMemberUniqueName="[Dim_Date4].[Day].[All]" allUniqueName="[Dim_Date4].[Day].[All]" dimensionUniqueName="[Dim_Date4]" displayFolder="" count="0" memberValueDatatype="20" unbalanced="0"/>
    <cacheHierarchy uniqueName="[Dim_Date4].[Invoice Date (Year)]" caption="Invoice Date (Year)" attribute="1" defaultMemberUniqueName="[Dim_Date4].[Invoice Date (Year)].[All]" allUniqueName="[Dim_Date4].[Invoice Date (Year)].[All]" dimensionUniqueName="[Dim_Date4]" displayFolder="" count="0" memberValueDatatype="130" unbalanced="0"/>
    <cacheHierarchy uniqueName="[Dim_Date4].[Invoice Date (Quarter)]" caption="Invoice Date (Quarter)" attribute="1" defaultMemberUniqueName="[Dim_Date4].[Invoice Date (Quarter)].[All]" allUniqueName="[Dim_Date4].[Invoice Date (Quarter)].[All]" dimensionUniqueName="[Dim_Date4]" displayFolder="" count="0" memberValueDatatype="130" unbalanced="0"/>
    <cacheHierarchy uniqueName="[Dim_Date4].[Invoice Date (Month)]" caption="Invoice Date (Month)" attribute="1" defaultMemberUniqueName="[Dim_Date4].[Invoice Date (Month)].[All]" allUniqueName="[Dim_Date4].[Invoice Date (Month)].[All]" dimensionUniqueName="[Dim_Date4]" displayFolder="" count="0" memberValueDatatype="130" unbalanced="0"/>
    <cacheHierarchy uniqueName="[Dim_Loction3].[City]" caption="City" attribute="1" defaultMemberUniqueName="[Dim_Loction3].[City].[All]" allUniqueName="[Dim_Loction3].[City].[All]" dimensionUniqueName="[Dim_Loction3]" displayFolder="" count="0" memberValueDatatype="130" unbalanced="0"/>
    <cacheHierarchy uniqueName="[Dim_Loction3].[State]" caption="State" attribute="1" defaultMemberUniqueName="[Dim_Loction3].[State].[All]" allUniqueName="[Dim_Loction3].[State].[All]" dimensionUniqueName="[Dim_Loction3]" displayFolder="" count="0" memberValueDatatype="130" unbalanced="0"/>
    <cacheHierarchy uniqueName="[Dim_Loction3].[Region]" caption="Region" attribute="1" defaultMemberUniqueName="[Dim_Loction3].[Region].[All]" allUniqueName="[Dim_Loction3].[Region].[All]" dimensionUniqueName="[Dim_Loction3]" displayFolder="" count="0" memberValueDatatype="130" unbalanced="0"/>
    <cacheHierarchy uniqueName="[Dim_Product2].[Product]" caption="Product" attribute="1" defaultMemberUniqueName="[Dim_Product2].[Product].[All]" allUniqueName="[Dim_Product2].[Product].[All]" dimensionUniqueName="[Dim_Product2]" displayFolder="" count="0" memberValueDatatype="130" unbalanced="0"/>
    <cacheHierarchy uniqueName="[Dim_Product2].[Price per Unit]" caption="Price per Unit" attribute="1" defaultMemberUniqueName="[Dim_Product2].[Price per Unit].[All]" allUniqueName="[Dim_Product2].[Price per Unit].[All]" dimensionUniqueName="[Dim_Product2]" displayFolder="" count="0" memberValueDatatype="20" unbalanced="0"/>
    <cacheHierarchy uniqueName="[Dim_retailer1].[Retailer ID]" caption="Retailer ID" attribute="1" defaultMemberUniqueName="[Dim_retailer1].[Retailer ID].[All]" allUniqueName="[Dim_retailer1].[Retailer ID].[All]" dimensionUniqueName="[Dim_retailer1]" displayFolder="" count="0" memberValueDatatype="20" unbalanced="0"/>
    <cacheHierarchy uniqueName="[Dim_retailer1].[Retailer]" caption="Retailer" attribute="1" defaultMemberUniqueName="[Dim_retailer1].[Retailer].[All]" allUniqueName="[Dim_retailer1].[Retailer].[All]" dimensionUniqueName="[Dim_retailer1]" displayFolder="" count="0" memberValueDatatype="130" unbalanced="0"/>
    <cacheHierarchy uniqueName="[Fact_Sales_Adidas].[Retailer ID]" caption="Retailer ID" attribute="1" defaultMemberUniqueName="[Fact_Sales_Adidas].[Retailer ID].[All]" allUniqueName="[Fact_Sales_Adidas].[Retailer ID].[All]" dimensionUniqueName="[Fact_Sales_Adidas]" displayFolder="" count="0" memberValueDatatype="20" unbalanced="0"/>
    <cacheHierarchy uniqueName="[Fact_Sales_Adidas].[Invoice Date]" caption="Invoice Date" attribute="1" time="1" defaultMemberUniqueName="[Fact_Sales_Adidas].[Invoice Date].[All]" allUniqueName="[Fact_Sales_Adidas].[Invoice Date].[All]" dimensionUniqueName="[Fact_Sales_Adidas]" displayFolder="" count="0" memberValueDatatype="7" unbalanced="0"/>
    <cacheHierarchy uniqueName="[Fact_Sales_Adidas].[State]" caption="State" attribute="1" defaultMemberUniqueName="[Fact_Sales_Adidas].[State].[All]" allUniqueName="[Fact_Sales_Adidas].[State].[All]" dimensionUniqueName="[Fact_Sales_Adidas]" displayFolder="" count="0" memberValueDatatype="130" unbalanced="0"/>
    <cacheHierarchy uniqueName="[Fact_Sales_Adidas].[Product]" caption="Product" attribute="1" defaultMemberUniqueName="[Fact_Sales_Adidas].[Product].[All]" allUniqueName="[Fact_Sales_Adidas].[Product].[All]" dimensionUniqueName="[Fact_Sales_Adidas]" displayFolder="" count="0" memberValueDatatype="130" unbalanced="0"/>
    <cacheHierarchy uniqueName="[Fact_Sales_Adidas].[Units Sold]" caption="Units Sold" attribute="1" defaultMemberUniqueName="[Fact_Sales_Adidas].[Units Sold].[All]" allUniqueName="[Fact_Sales_Adidas].[Units Sold].[All]" dimensionUniqueName="[Fact_Sales_Adidas]" displayFolder="" count="0" memberValueDatatype="20" unbalanced="0"/>
    <cacheHierarchy uniqueName="[Fact_Sales_Adidas].[Total Sales]" caption="Total Sales" attribute="1" defaultMemberUniqueName="[Fact_Sales_Adidas].[Total Sales].[All]" allUniqueName="[Fact_Sales_Adidas].[Total Sales].[All]" dimensionUniqueName="[Fact_Sales_Adidas]" displayFolder="" count="0" memberValueDatatype="6" unbalanced="0"/>
    <cacheHierarchy uniqueName="[Fact_Sales_Adidas].[Operating Profit]" caption="Operating Profit" attribute="1" defaultMemberUniqueName="[Fact_Sales_Adidas].[Operating Profit].[All]" allUniqueName="[Fact_Sales_Adidas].[Operating Profit].[All]" dimensionUniqueName="[Fact_Sales_Adidas]" displayFolder="" count="0" memberValueDatatype="6" unbalanced="0"/>
    <cacheHierarchy uniqueName="[Fact_Sales_Adidas].[Operating Margin]" caption="Operating Margin" attribute="1" defaultMemberUniqueName="[Fact_Sales_Adidas].[Operating Margin].[All]" allUniqueName="[Fact_Sales_Adidas].[Operating Margin].[All]" dimensionUniqueName="[Fact_Sales_Adidas]" displayFolder="" count="0" memberValueDatatype="5" unbalanced="0"/>
    <cacheHierarchy uniqueName="[Fact_Sales_Adidas].[Sales Method]" caption="Sales Method" attribute="1" defaultMemberUniqueName="[Fact_Sales_Adidas].[Sales Method].[All]" allUniqueName="[Fact_Sales_Adidas].[Sales Method].[All]" dimensionUniqueName="[Fact_Sales_Adidas]" displayFolder="" count="2" memberValueDatatype="130" unbalanced="0">
      <fieldsUsage count="2">
        <fieldUsage x="-1"/>
        <fieldUsage x="1"/>
      </fieldsUsage>
    </cacheHierarchy>
    <cacheHierarchy uniqueName="[Fact_Sales_Adidas].[Revenue Per Unit]" caption="Revenue Per Unit" attribute="1" defaultMemberUniqueName="[Fact_Sales_Adidas].[Revenue Per Unit].[All]" allUniqueName="[Fact_Sales_Adidas].[Revenue Per Unit].[All]" dimensionUniqueName="[Fact_Sales_Adidas]" displayFolder="" count="0" memberValueDatatype="130" unbalanced="0"/>
    <cacheHierarchy uniqueName="[Fact_Sales_Adidas].[Profit Margin]" caption="Profit Margin" attribute="1" defaultMemberUniqueName="[Fact_Sales_Adidas].[Profit Margin].[All]" allUniqueName="[Fact_Sales_Adidas].[Profit Margin].[All]" dimensionUniqueName="[Fact_Sales_Adidas]" displayFolder="" count="0" memberValueDatatype="5" unbalanced="0"/>
    <cacheHierarchy uniqueName="[Fact_Sales_Adidas].[Profit per Unit]" caption="Profit per Unit" attribute="1" defaultMemberUniqueName="[Fact_Sales_Adidas].[Profit per Unit].[All]" allUniqueName="[Fact_Sales_Adidas].[Profit per Unit].[All]" dimensionUniqueName="[Fact_Sales_Adidas]" displayFolder="" count="0" memberValueDatatype="130" unbalanced="0"/>
    <cacheHierarchy uniqueName="[Dim_Date4].[Invoice Date (Month Index)]" caption="Invoice Date (Month Index)" attribute="1" defaultMemberUniqueName="[Dim_Date4].[Invoice Date (Month Index)].[All]" allUniqueName="[Dim_Date4].[Invoice Date (Month Index)].[All]" dimensionUniqueName="[Dim_Date4]" displayFolder="" count="0" memberValueDatatype="20" unbalanced="0" hidden="1"/>
    <cacheHierarchy uniqueName="[Measures].[Sum of Total Sales]" caption="Sum of Total Sales" measure="1" displayFolder="" measureGroup="Fact_Sales_Adid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Sales]" caption="TotalSales" measure="1" displayFolder="" measureGroup="Fact_Sales_Adidas" count="0"/>
    <cacheHierarchy uniqueName="[Measures].[Total Profit]" caption="Total Profit" measure="1" displayFolder="" measureGroup="Fact_Sales_Adidas" count="0"/>
    <cacheHierarchy uniqueName="[Measures].[ProfitMargin]" caption="ProfitMargin" measure="1" displayFolder="" measureGroup="Fact_Sales_Adidas" count="0"/>
    <cacheHierarchy uniqueName="[Measures].[Total Unit]" caption="Total Unit" measure="1" displayFolder="" measureGroup="Fact_Sales_Adidas" count="0"/>
    <cacheHierarchy uniqueName="[Measures].[avg price per unit]" caption="avg price per unit" measure="1" displayFolder="" measureGroup="Fact_Sales_Adidas" count="0"/>
    <cacheHierarchy uniqueName="[Measures].[Sales PY]" caption="Sales PY" measure="1" displayFolder="" measureGroup="Fact_Sales_Adidas" count="0"/>
    <cacheHierarchy uniqueName="[Measures].[__XL_Count Fact_Sales_Adidas]" caption="__XL_Count Fact_Sales_Adidas" measure="1" displayFolder="" measureGroup="Fact_Sales_Adidas" count="0" hidden="1"/>
    <cacheHierarchy uniqueName="[Measures].[__XL_Count Dim_retailer1]" caption="__XL_Count Dim_retailer1" measure="1" displayFolder="" measureGroup="Dim_retailer1" count="0" hidden="1"/>
    <cacheHierarchy uniqueName="[Measures].[__XL_Count Dim_Loction3]" caption="__XL_Count Dim_Loction3" measure="1" displayFolder="" measureGroup="Dim_Loction3" count="0" hidden="1"/>
    <cacheHierarchy uniqueName="[Measures].[__XL_Count Dim_Product2]" caption="__XL_Count Dim_Product2" measure="1" displayFolder="" measureGroup="Dim_Product2" count="0" hidden="1"/>
    <cacheHierarchy uniqueName="[Measures].[__XL_Count Dim_Date4]" caption="__XL_Count Dim_Date4" measure="1" displayFolder="" measureGroup="Dim_Date4" count="0" hidden="1"/>
    <cacheHierarchy uniqueName="[Measures].[__No measures defined]" caption="__No measures defined" measure="1" displayFolder="" count="0" hidden="1"/>
  </cacheHierarchies>
  <kpis count="0"/>
  <dimensions count="6">
    <dimension name="Dim_Date4" uniqueName="[Dim_Date4]" caption="Dim_Date4"/>
    <dimension name="Dim_Loction3" uniqueName="[Dim_Loction3]" caption="Dim_Loction3"/>
    <dimension name="Dim_Product2" uniqueName="[Dim_Product2]" caption="Dim_Product2"/>
    <dimension name="Dim_retailer1" uniqueName="[Dim_retailer1]" caption="Dim_retailer1"/>
    <dimension name="Fact_Sales_Adidas" uniqueName="[Fact_Sales_Adidas]" caption="Fact_Sales_Adidas"/>
    <dimension measure="1" name="Measures" uniqueName="[Measures]" caption="Measures"/>
  </dimensions>
  <measureGroups count="5">
    <measureGroup name="Dim_Date4" caption="Dim_Date4"/>
    <measureGroup name="Dim_Loction3" caption="Dim_Loction3"/>
    <measureGroup name="Dim_Product2" caption="Dim_Product2"/>
    <measureGroup name="Dim_retailer1" caption="Dim_retailer1"/>
    <measureGroup name="Fact_Sales_Adidas" caption="Fact_Sales_Adid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08.984347685182" backgroundQuery="1" createdVersion="8" refreshedVersion="8" minRefreshableVersion="3" recordCount="0" supportSubquery="1" supportAdvancedDrill="1" xr:uid="{F387301C-E1C3-4A21-973F-43A1D918DBDA}">
  <cacheSource type="external" connectionId="6"/>
  <cacheFields count="1">
    <cacheField name="[Measures].[TotalSales]" caption="TotalSales" numFmtId="0" hierarchy="28" level="32767"/>
  </cacheFields>
  <cacheHierarchies count="40">
    <cacheHierarchy uniqueName="[Dim_Date4].[Invoice Date]" caption="Invoice Date" attribute="1" time="1" defaultMemberUniqueName="[Dim_Date4].[Invoice Date].[All]" allUniqueName="[Dim_Date4].[Invoice Date].[All]" dimensionUniqueName="[Dim_Date4]" displayFolder="" count="0" memberValueDatatype="7" unbalanced="0"/>
    <cacheHierarchy uniqueName="[Dim_Date4].[Year]" caption="Year" attribute="1" defaultMemberUniqueName="[Dim_Date4].[Year].[All]" allUniqueName="[Dim_Date4].[Year].[All]" dimensionUniqueName="[Dim_Date4]" displayFolder="" count="0" memberValueDatatype="20" unbalanced="0"/>
    <cacheHierarchy uniqueName="[Dim_Date4].[Month]" caption="Month" attribute="1" defaultMemberUniqueName="[Dim_Date4].[Month].[All]" allUniqueName="[Dim_Date4].[Month].[All]" dimensionUniqueName="[Dim_Date4]" displayFolder="" count="0" memberValueDatatype="20" unbalanced="0"/>
    <cacheHierarchy uniqueName="[Dim_Date4].[Day]" caption="Day" attribute="1" defaultMemberUniqueName="[Dim_Date4].[Day].[All]" allUniqueName="[Dim_Date4].[Day].[All]" dimensionUniqueName="[Dim_Date4]" displayFolder="" count="0" memberValueDatatype="20" unbalanced="0"/>
    <cacheHierarchy uniqueName="[Dim_Date4].[Invoice Date (Year)]" caption="Invoice Date (Year)" attribute="1" defaultMemberUniqueName="[Dim_Date4].[Invoice Date (Year)].[All]" allUniqueName="[Dim_Date4].[Invoice Date (Year)].[All]" dimensionUniqueName="[Dim_Date4]" displayFolder="" count="0" memberValueDatatype="130" unbalanced="0"/>
    <cacheHierarchy uniqueName="[Dim_Date4].[Invoice Date (Quarter)]" caption="Invoice Date (Quarter)" attribute="1" defaultMemberUniqueName="[Dim_Date4].[Invoice Date (Quarter)].[All]" allUniqueName="[Dim_Date4].[Invoice Date (Quarter)].[All]" dimensionUniqueName="[Dim_Date4]" displayFolder="" count="0" memberValueDatatype="130" unbalanced="0"/>
    <cacheHierarchy uniqueName="[Dim_Date4].[Invoice Date (Month)]" caption="Invoice Date (Month)" attribute="1" defaultMemberUniqueName="[Dim_Date4].[Invoice Date (Month)].[All]" allUniqueName="[Dim_Date4].[Invoice Date (Month)].[All]" dimensionUniqueName="[Dim_Date4]" displayFolder="" count="0" memberValueDatatype="130" unbalanced="0"/>
    <cacheHierarchy uniqueName="[Dim_Loction3].[City]" caption="City" attribute="1" defaultMemberUniqueName="[Dim_Loction3].[City].[All]" allUniqueName="[Dim_Loction3].[City].[All]" dimensionUniqueName="[Dim_Loction3]" displayFolder="" count="0" memberValueDatatype="130" unbalanced="0"/>
    <cacheHierarchy uniqueName="[Dim_Loction3].[State]" caption="State" attribute="1" defaultMemberUniqueName="[Dim_Loction3].[State].[All]" allUniqueName="[Dim_Loction3].[State].[All]" dimensionUniqueName="[Dim_Loction3]" displayFolder="" count="0" memberValueDatatype="130" unbalanced="0"/>
    <cacheHierarchy uniqueName="[Dim_Loction3].[Region]" caption="Region" attribute="1" defaultMemberUniqueName="[Dim_Loction3].[Region].[All]" allUniqueName="[Dim_Loction3].[Region].[All]" dimensionUniqueName="[Dim_Loction3]" displayFolder="" count="0" memberValueDatatype="130" unbalanced="0"/>
    <cacheHierarchy uniqueName="[Dim_Product2].[Product]" caption="Product" attribute="1" defaultMemberUniqueName="[Dim_Product2].[Product].[All]" allUniqueName="[Dim_Product2].[Product].[All]" dimensionUniqueName="[Dim_Product2]" displayFolder="" count="0" memberValueDatatype="130" unbalanced="0"/>
    <cacheHierarchy uniqueName="[Dim_Product2].[Price per Unit]" caption="Price per Unit" attribute="1" defaultMemberUniqueName="[Dim_Product2].[Price per Unit].[All]" allUniqueName="[Dim_Product2].[Price per Unit].[All]" dimensionUniqueName="[Dim_Product2]" displayFolder="" count="0" memberValueDatatype="20" unbalanced="0"/>
    <cacheHierarchy uniqueName="[Dim_retailer1].[Retailer ID]" caption="Retailer ID" attribute="1" defaultMemberUniqueName="[Dim_retailer1].[Retailer ID].[All]" allUniqueName="[Dim_retailer1].[Retailer ID].[All]" dimensionUniqueName="[Dim_retailer1]" displayFolder="" count="0" memberValueDatatype="20" unbalanced="0"/>
    <cacheHierarchy uniqueName="[Dim_retailer1].[Retailer]" caption="Retailer" attribute="1" defaultMemberUniqueName="[Dim_retailer1].[Retailer].[All]" allUniqueName="[Dim_retailer1].[Retailer].[All]" dimensionUniqueName="[Dim_retailer1]" displayFolder="" count="0" memberValueDatatype="130" unbalanced="0"/>
    <cacheHierarchy uniqueName="[Fact_Sales_Adidas].[Retailer ID]" caption="Retailer ID" attribute="1" defaultMemberUniqueName="[Fact_Sales_Adidas].[Retailer ID].[All]" allUniqueName="[Fact_Sales_Adidas].[Retailer ID].[All]" dimensionUniqueName="[Fact_Sales_Adidas]" displayFolder="" count="0" memberValueDatatype="20" unbalanced="0"/>
    <cacheHierarchy uniqueName="[Fact_Sales_Adidas].[Invoice Date]" caption="Invoice Date" attribute="1" time="1" defaultMemberUniqueName="[Fact_Sales_Adidas].[Invoice Date].[All]" allUniqueName="[Fact_Sales_Adidas].[Invoice Date].[All]" dimensionUniqueName="[Fact_Sales_Adidas]" displayFolder="" count="0" memberValueDatatype="7" unbalanced="0"/>
    <cacheHierarchy uniqueName="[Fact_Sales_Adidas].[State]" caption="State" attribute="1" defaultMemberUniqueName="[Fact_Sales_Adidas].[State].[All]" allUniqueName="[Fact_Sales_Adidas].[State].[All]" dimensionUniqueName="[Fact_Sales_Adidas]" displayFolder="" count="0" memberValueDatatype="130" unbalanced="0"/>
    <cacheHierarchy uniqueName="[Fact_Sales_Adidas].[Product]" caption="Product" attribute="1" defaultMemberUniqueName="[Fact_Sales_Adidas].[Product].[All]" allUniqueName="[Fact_Sales_Adidas].[Product].[All]" dimensionUniqueName="[Fact_Sales_Adidas]" displayFolder="" count="0" memberValueDatatype="130" unbalanced="0"/>
    <cacheHierarchy uniqueName="[Fact_Sales_Adidas].[Units Sold]" caption="Units Sold" attribute="1" defaultMemberUniqueName="[Fact_Sales_Adidas].[Units Sold].[All]" allUniqueName="[Fact_Sales_Adidas].[Units Sold].[All]" dimensionUniqueName="[Fact_Sales_Adidas]" displayFolder="" count="0" memberValueDatatype="20" unbalanced="0"/>
    <cacheHierarchy uniqueName="[Fact_Sales_Adidas].[Total Sales]" caption="Total Sales" attribute="1" defaultMemberUniqueName="[Fact_Sales_Adidas].[Total Sales].[All]" allUniqueName="[Fact_Sales_Adidas].[Total Sales].[All]" dimensionUniqueName="[Fact_Sales_Adidas]" displayFolder="" count="0" memberValueDatatype="6" unbalanced="0"/>
    <cacheHierarchy uniqueName="[Fact_Sales_Adidas].[Operating Profit]" caption="Operating Profit" attribute="1" defaultMemberUniqueName="[Fact_Sales_Adidas].[Operating Profit].[All]" allUniqueName="[Fact_Sales_Adidas].[Operating Profit].[All]" dimensionUniqueName="[Fact_Sales_Adidas]" displayFolder="" count="0" memberValueDatatype="6" unbalanced="0"/>
    <cacheHierarchy uniqueName="[Fact_Sales_Adidas].[Operating Margin]" caption="Operating Margin" attribute="1" defaultMemberUniqueName="[Fact_Sales_Adidas].[Operating Margin].[All]" allUniqueName="[Fact_Sales_Adidas].[Operating Margin].[All]" dimensionUniqueName="[Fact_Sales_Adidas]" displayFolder="" count="0" memberValueDatatype="5" unbalanced="0"/>
    <cacheHierarchy uniqueName="[Fact_Sales_Adidas].[Sales Method]" caption="Sales Method" attribute="1" defaultMemberUniqueName="[Fact_Sales_Adidas].[Sales Method].[All]" allUniqueName="[Fact_Sales_Adidas].[Sales Method].[All]" dimensionUniqueName="[Fact_Sales_Adidas]" displayFolder="" count="0" memberValueDatatype="130" unbalanced="0"/>
    <cacheHierarchy uniqueName="[Fact_Sales_Adidas].[Revenue Per Unit]" caption="Revenue Per Unit" attribute="1" defaultMemberUniqueName="[Fact_Sales_Adidas].[Revenue Per Unit].[All]" allUniqueName="[Fact_Sales_Adidas].[Revenue Per Unit].[All]" dimensionUniqueName="[Fact_Sales_Adidas]" displayFolder="" count="0" memberValueDatatype="130" unbalanced="0"/>
    <cacheHierarchy uniqueName="[Fact_Sales_Adidas].[Profit Margin]" caption="Profit Margin" attribute="1" defaultMemberUniqueName="[Fact_Sales_Adidas].[Profit Margin].[All]" allUniqueName="[Fact_Sales_Adidas].[Profit Margin].[All]" dimensionUniqueName="[Fact_Sales_Adidas]" displayFolder="" count="0" memberValueDatatype="5" unbalanced="0"/>
    <cacheHierarchy uniqueName="[Fact_Sales_Adidas].[Profit per Unit]" caption="Profit per Unit" attribute="1" defaultMemberUniqueName="[Fact_Sales_Adidas].[Profit per Unit].[All]" allUniqueName="[Fact_Sales_Adidas].[Profit per Unit].[All]" dimensionUniqueName="[Fact_Sales_Adidas]" displayFolder="" count="0" memberValueDatatype="130" unbalanced="0"/>
    <cacheHierarchy uniqueName="[Dim_Date4].[Invoice Date (Month Index)]" caption="Invoice Date (Month Index)" attribute="1" defaultMemberUniqueName="[Dim_Date4].[Invoice Date (Month Index)].[All]" allUniqueName="[Dim_Date4].[Invoice Date (Month Index)].[All]" dimensionUniqueName="[Dim_Date4]" displayFolder="" count="0" memberValueDatatype="20" unbalanced="0" hidden="1"/>
    <cacheHierarchy uniqueName="[Measures].[Sum of Total Sales]" caption="Sum of Total Sales" measure="1" displayFolder="" measureGroup="Fact_Sales_Adida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Sales]" caption="TotalSales" measure="1" displayFolder="" measureGroup="Fact_Sales_Adidas" count="0" oneField="1">
      <fieldsUsage count="1">
        <fieldUsage x="0"/>
      </fieldsUsage>
    </cacheHierarchy>
    <cacheHierarchy uniqueName="[Measures].[Total Profit]" caption="Total Profit" measure="1" displayFolder="" measureGroup="Fact_Sales_Adidas" count="0"/>
    <cacheHierarchy uniqueName="[Measures].[ProfitMargin]" caption="ProfitMargin" measure="1" displayFolder="" measureGroup="Fact_Sales_Adidas" count="0"/>
    <cacheHierarchy uniqueName="[Measures].[Total Unit]" caption="Total Unit" measure="1" displayFolder="" measureGroup="Fact_Sales_Adidas" count="0"/>
    <cacheHierarchy uniqueName="[Measures].[avg price per unit]" caption="avg price per unit" measure="1" displayFolder="" measureGroup="Fact_Sales_Adidas" count="0"/>
    <cacheHierarchy uniqueName="[Measures].[Sales PY]" caption="Sales PY" measure="1" displayFolder="" measureGroup="Fact_Sales_Adidas" count="0"/>
    <cacheHierarchy uniqueName="[Measures].[__XL_Count Fact_Sales_Adidas]" caption="__XL_Count Fact_Sales_Adidas" measure="1" displayFolder="" measureGroup="Fact_Sales_Adidas" count="0" hidden="1"/>
    <cacheHierarchy uniqueName="[Measures].[__XL_Count Dim_retailer1]" caption="__XL_Count Dim_retailer1" measure="1" displayFolder="" measureGroup="Dim_retailer1" count="0" hidden="1"/>
    <cacheHierarchy uniqueName="[Measures].[__XL_Count Dim_Loction3]" caption="__XL_Count Dim_Loction3" measure="1" displayFolder="" measureGroup="Dim_Loction3" count="0" hidden="1"/>
    <cacheHierarchy uniqueName="[Measures].[__XL_Count Dim_Product2]" caption="__XL_Count Dim_Product2" measure="1" displayFolder="" measureGroup="Dim_Product2" count="0" hidden="1"/>
    <cacheHierarchy uniqueName="[Measures].[__XL_Count Dim_Date4]" caption="__XL_Count Dim_Date4" measure="1" displayFolder="" measureGroup="Dim_Date4" count="0" hidden="1"/>
    <cacheHierarchy uniqueName="[Measures].[__No measures defined]" caption="__No measures defined" measure="1" displayFolder="" count="0" hidden="1"/>
  </cacheHierarchies>
  <kpis count="0"/>
  <dimensions count="6">
    <dimension name="Dim_Date4" uniqueName="[Dim_Date4]" caption="Dim_Date4"/>
    <dimension name="Dim_Loction3" uniqueName="[Dim_Loction3]" caption="Dim_Loction3"/>
    <dimension name="Dim_Product2" uniqueName="[Dim_Product2]" caption="Dim_Product2"/>
    <dimension name="Dim_retailer1" uniqueName="[Dim_retailer1]" caption="Dim_retailer1"/>
    <dimension name="Fact_Sales_Adidas" uniqueName="[Fact_Sales_Adidas]" caption="Fact_Sales_Adidas"/>
    <dimension measure="1" name="Measures" uniqueName="[Measures]" caption="Measures"/>
  </dimensions>
  <measureGroups count="5">
    <measureGroup name="Dim_Date4" caption="Dim_Date4"/>
    <measureGroup name="Dim_Loction3" caption="Dim_Loction3"/>
    <measureGroup name="Dim_Product2" caption="Dim_Product2"/>
    <measureGroup name="Dim_retailer1" caption="Dim_retailer1"/>
    <measureGroup name="Fact_Sales_Adidas" caption="Fact_Sales_Adid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08.984349189814" backgroundQuery="1" createdVersion="8" refreshedVersion="8" minRefreshableVersion="3" recordCount="0" supportSubquery="1" supportAdvancedDrill="1" xr:uid="{4E206B89-4198-4A63-A65A-F166D87B4DD6}">
  <cacheSource type="external" connectionId="6"/>
  <cacheFields count="1">
    <cacheField name="[Measures].[Total Profit]" caption="Total Profit" numFmtId="0" hierarchy="29" level="32767"/>
  </cacheFields>
  <cacheHierarchies count="40">
    <cacheHierarchy uniqueName="[Dim_Date4].[Invoice Date]" caption="Invoice Date" attribute="1" time="1" defaultMemberUniqueName="[Dim_Date4].[Invoice Date].[All]" allUniqueName="[Dim_Date4].[Invoice Date].[All]" dimensionUniqueName="[Dim_Date4]" displayFolder="" count="0" memberValueDatatype="7" unbalanced="0"/>
    <cacheHierarchy uniqueName="[Dim_Date4].[Year]" caption="Year" attribute="1" defaultMemberUniqueName="[Dim_Date4].[Year].[All]" allUniqueName="[Dim_Date4].[Year].[All]" dimensionUniqueName="[Dim_Date4]" displayFolder="" count="0" memberValueDatatype="20" unbalanced="0"/>
    <cacheHierarchy uniqueName="[Dim_Date4].[Month]" caption="Month" attribute="1" defaultMemberUniqueName="[Dim_Date4].[Month].[All]" allUniqueName="[Dim_Date4].[Month].[All]" dimensionUniqueName="[Dim_Date4]" displayFolder="" count="0" memberValueDatatype="20" unbalanced="0"/>
    <cacheHierarchy uniqueName="[Dim_Date4].[Day]" caption="Day" attribute="1" defaultMemberUniqueName="[Dim_Date4].[Day].[All]" allUniqueName="[Dim_Date4].[Day].[All]" dimensionUniqueName="[Dim_Date4]" displayFolder="" count="0" memberValueDatatype="20" unbalanced="0"/>
    <cacheHierarchy uniqueName="[Dim_Date4].[Invoice Date (Year)]" caption="Invoice Date (Year)" attribute="1" defaultMemberUniqueName="[Dim_Date4].[Invoice Date (Year)].[All]" allUniqueName="[Dim_Date4].[Invoice Date (Year)].[All]" dimensionUniqueName="[Dim_Date4]" displayFolder="" count="0" memberValueDatatype="130" unbalanced="0"/>
    <cacheHierarchy uniqueName="[Dim_Date4].[Invoice Date (Quarter)]" caption="Invoice Date (Quarter)" attribute="1" defaultMemberUniqueName="[Dim_Date4].[Invoice Date (Quarter)].[All]" allUniqueName="[Dim_Date4].[Invoice Date (Quarter)].[All]" dimensionUniqueName="[Dim_Date4]" displayFolder="" count="0" memberValueDatatype="130" unbalanced="0"/>
    <cacheHierarchy uniqueName="[Dim_Date4].[Invoice Date (Month)]" caption="Invoice Date (Month)" attribute="1" defaultMemberUniqueName="[Dim_Date4].[Invoice Date (Month)].[All]" allUniqueName="[Dim_Date4].[Invoice Date (Month)].[All]" dimensionUniqueName="[Dim_Date4]" displayFolder="" count="0" memberValueDatatype="130" unbalanced="0"/>
    <cacheHierarchy uniqueName="[Dim_Loction3].[City]" caption="City" attribute="1" defaultMemberUniqueName="[Dim_Loction3].[City].[All]" allUniqueName="[Dim_Loction3].[City].[All]" dimensionUniqueName="[Dim_Loction3]" displayFolder="" count="0" memberValueDatatype="130" unbalanced="0"/>
    <cacheHierarchy uniqueName="[Dim_Loction3].[State]" caption="State" attribute="1" defaultMemberUniqueName="[Dim_Loction3].[State].[All]" allUniqueName="[Dim_Loction3].[State].[All]" dimensionUniqueName="[Dim_Loction3]" displayFolder="" count="0" memberValueDatatype="130" unbalanced="0"/>
    <cacheHierarchy uniqueName="[Dim_Loction3].[Region]" caption="Region" attribute="1" defaultMemberUniqueName="[Dim_Loction3].[Region].[All]" allUniqueName="[Dim_Loction3].[Region].[All]" dimensionUniqueName="[Dim_Loction3]" displayFolder="" count="0" memberValueDatatype="130" unbalanced="0"/>
    <cacheHierarchy uniqueName="[Dim_Product2].[Product]" caption="Product" attribute="1" defaultMemberUniqueName="[Dim_Product2].[Product].[All]" allUniqueName="[Dim_Product2].[Product].[All]" dimensionUniqueName="[Dim_Product2]" displayFolder="" count="0" memberValueDatatype="130" unbalanced="0"/>
    <cacheHierarchy uniqueName="[Dim_Product2].[Price per Unit]" caption="Price per Unit" attribute="1" defaultMemberUniqueName="[Dim_Product2].[Price per Unit].[All]" allUniqueName="[Dim_Product2].[Price per Unit].[All]" dimensionUniqueName="[Dim_Product2]" displayFolder="" count="0" memberValueDatatype="20" unbalanced="0"/>
    <cacheHierarchy uniqueName="[Dim_retailer1].[Retailer ID]" caption="Retailer ID" attribute="1" defaultMemberUniqueName="[Dim_retailer1].[Retailer ID].[All]" allUniqueName="[Dim_retailer1].[Retailer ID].[All]" dimensionUniqueName="[Dim_retailer1]" displayFolder="" count="0" memberValueDatatype="20" unbalanced="0"/>
    <cacheHierarchy uniqueName="[Dim_retailer1].[Retailer]" caption="Retailer" attribute="1" defaultMemberUniqueName="[Dim_retailer1].[Retailer].[All]" allUniqueName="[Dim_retailer1].[Retailer].[All]" dimensionUniqueName="[Dim_retailer1]" displayFolder="" count="0" memberValueDatatype="130" unbalanced="0"/>
    <cacheHierarchy uniqueName="[Fact_Sales_Adidas].[Retailer ID]" caption="Retailer ID" attribute="1" defaultMemberUniqueName="[Fact_Sales_Adidas].[Retailer ID].[All]" allUniqueName="[Fact_Sales_Adidas].[Retailer ID].[All]" dimensionUniqueName="[Fact_Sales_Adidas]" displayFolder="" count="0" memberValueDatatype="20" unbalanced="0"/>
    <cacheHierarchy uniqueName="[Fact_Sales_Adidas].[Invoice Date]" caption="Invoice Date" attribute="1" time="1" defaultMemberUniqueName="[Fact_Sales_Adidas].[Invoice Date].[All]" allUniqueName="[Fact_Sales_Adidas].[Invoice Date].[All]" dimensionUniqueName="[Fact_Sales_Adidas]" displayFolder="" count="0" memberValueDatatype="7" unbalanced="0"/>
    <cacheHierarchy uniqueName="[Fact_Sales_Adidas].[State]" caption="State" attribute="1" defaultMemberUniqueName="[Fact_Sales_Adidas].[State].[All]" allUniqueName="[Fact_Sales_Adidas].[State].[All]" dimensionUniqueName="[Fact_Sales_Adidas]" displayFolder="" count="0" memberValueDatatype="130" unbalanced="0"/>
    <cacheHierarchy uniqueName="[Fact_Sales_Adidas].[Product]" caption="Product" attribute="1" defaultMemberUniqueName="[Fact_Sales_Adidas].[Product].[All]" allUniqueName="[Fact_Sales_Adidas].[Product].[All]" dimensionUniqueName="[Fact_Sales_Adidas]" displayFolder="" count="0" memberValueDatatype="130" unbalanced="0"/>
    <cacheHierarchy uniqueName="[Fact_Sales_Adidas].[Units Sold]" caption="Units Sold" attribute="1" defaultMemberUniqueName="[Fact_Sales_Adidas].[Units Sold].[All]" allUniqueName="[Fact_Sales_Adidas].[Units Sold].[All]" dimensionUniqueName="[Fact_Sales_Adidas]" displayFolder="" count="0" memberValueDatatype="20" unbalanced="0"/>
    <cacheHierarchy uniqueName="[Fact_Sales_Adidas].[Total Sales]" caption="Total Sales" attribute="1" defaultMemberUniqueName="[Fact_Sales_Adidas].[Total Sales].[All]" allUniqueName="[Fact_Sales_Adidas].[Total Sales].[All]" dimensionUniqueName="[Fact_Sales_Adidas]" displayFolder="" count="0" memberValueDatatype="6" unbalanced="0"/>
    <cacheHierarchy uniqueName="[Fact_Sales_Adidas].[Operating Profit]" caption="Operating Profit" attribute="1" defaultMemberUniqueName="[Fact_Sales_Adidas].[Operating Profit].[All]" allUniqueName="[Fact_Sales_Adidas].[Operating Profit].[All]" dimensionUniqueName="[Fact_Sales_Adidas]" displayFolder="" count="0" memberValueDatatype="6" unbalanced="0"/>
    <cacheHierarchy uniqueName="[Fact_Sales_Adidas].[Operating Margin]" caption="Operating Margin" attribute="1" defaultMemberUniqueName="[Fact_Sales_Adidas].[Operating Margin].[All]" allUniqueName="[Fact_Sales_Adidas].[Operating Margin].[All]" dimensionUniqueName="[Fact_Sales_Adidas]" displayFolder="" count="0" memberValueDatatype="5" unbalanced="0"/>
    <cacheHierarchy uniqueName="[Fact_Sales_Adidas].[Sales Method]" caption="Sales Method" attribute="1" defaultMemberUniqueName="[Fact_Sales_Adidas].[Sales Method].[All]" allUniqueName="[Fact_Sales_Adidas].[Sales Method].[All]" dimensionUniqueName="[Fact_Sales_Adidas]" displayFolder="" count="0" memberValueDatatype="130" unbalanced="0"/>
    <cacheHierarchy uniqueName="[Fact_Sales_Adidas].[Revenue Per Unit]" caption="Revenue Per Unit" attribute="1" defaultMemberUniqueName="[Fact_Sales_Adidas].[Revenue Per Unit].[All]" allUniqueName="[Fact_Sales_Adidas].[Revenue Per Unit].[All]" dimensionUniqueName="[Fact_Sales_Adidas]" displayFolder="" count="0" memberValueDatatype="130" unbalanced="0"/>
    <cacheHierarchy uniqueName="[Fact_Sales_Adidas].[Profit Margin]" caption="Profit Margin" attribute="1" defaultMemberUniqueName="[Fact_Sales_Adidas].[Profit Margin].[All]" allUniqueName="[Fact_Sales_Adidas].[Profit Margin].[All]" dimensionUniqueName="[Fact_Sales_Adidas]" displayFolder="" count="0" memberValueDatatype="5" unbalanced="0"/>
    <cacheHierarchy uniqueName="[Fact_Sales_Adidas].[Profit per Unit]" caption="Profit per Unit" attribute="1" defaultMemberUniqueName="[Fact_Sales_Adidas].[Profit per Unit].[All]" allUniqueName="[Fact_Sales_Adidas].[Profit per Unit].[All]" dimensionUniqueName="[Fact_Sales_Adidas]" displayFolder="" count="0" memberValueDatatype="130" unbalanced="0"/>
    <cacheHierarchy uniqueName="[Dim_Date4].[Invoice Date (Month Index)]" caption="Invoice Date (Month Index)" attribute="1" defaultMemberUniqueName="[Dim_Date4].[Invoice Date (Month Index)].[All]" allUniqueName="[Dim_Date4].[Invoice Date (Month Index)].[All]" dimensionUniqueName="[Dim_Date4]" displayFolder="" count="0" memberValueDatatype="20" unbalanced="0" hidden="1"/>
    <cacheHierarchy uniqueName="[Measures].[Sum of Total Sales]" caption="Sum of Total Sales" measure="1" displayFolder="" measureGroup="Fact_Sales_Adida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Sales]" caption="TotalSales" measure="1" displayFolder="" measureGroup="Fact_Sales_Adidas" count="0"/>
    <cacheHierarchy uniqueName="[Measures].[Total Profit]" caption="Total Profit" measure="1" displayFolder="" measureGroup="Fact_Sales_Adidas" count="0" oneField="1">
      <fieldsUsage count="1">
        <fieldUsage x="0"/>
      </fieldsUsage>
    </cacheHierarchy>
    <cacheHierarchy uniqueName="[Measures].[ProfitMargin]" caption="ProfitMargin" measure="1" displayFolder="" measureGroup="Fact_Sales_Adidas" count="0"/>
    <cacheHierarchy uniqueName="[Measures].[Total Unit]" caption="Total Unit" measure="1" displayFolder="" measureGroup="Fact_Sales_Adidas" count="0"/>
    <cacheHierarchy uniqueName="[Measures].[avg price per unit]" caption="avg price per unit" measure="1" displayFolder="" measureGroup="Fact_Sales_Adidas" count="0"/>
    <cacheHierarchy uniqueName="[Measures].[Sales PY]" caption="Sales PY" measure="1" displayFolder="" measureGroup="Fact_Sales_Adidas" count="0"/>
    <cacheHierarchy uniqueName="[Measures].[__XL_Count Fact_Sales_Adidas]" caption="__XL_Count Fact_Sales_Adidas" measure="1" displayFolder="" measureGroup="Fact_Sales_Adidas" count="0" hidden="1"/>
    <cacheHierarchy uniqueName="[Measures].[__XL_Count Dim_retailer1]" caption="__XL_Count Dim_retailer1" measure="1" displayFolder="" measureGroup="Dim_retailer1" count="0" hidden="1"/>
    <cacheHierarchy uniqueName="[Measures].[__XL_Count Dim_Loction3]" caption="__XL_Count Dim_Loction3" measure="1" displayFolder="" measureGroup="Dim_Loction3" count="0" hidden="1"/>
    <cacheHierarchy uniqueName="[Measures].[__XL_Count Dim_Product2]" caption="__XL_Count Dim_Product2" measure="1" displayFolder="" measureGroup="Dim_Product2" count="0" hidden="1"/>
    <cacheHierarchy uniqueName="[Measures].[__XL_Count Dim_Date4]" caption="__XL_Count Dim_Date4" measure="1" displayFolder="" measureGroup="Dim_Date4" count="0" hidden="1"/>
    <cacheHierarchy uniqueName="[Measures].[__No measures defined]" caption="__No measures defined" measure="1" displayFolder="" count="0" hidden="1"/>
  </cacheHierarchies>
  <kpis count="0"/>
  <dimensions count="6">
    <dimension name="Dim_Date4" uniqueName="[Dim_Date4]" caption="Dim_Date4"/>
    <dimension name="Dim_Loction3" uniqueName="[Dim_Loction3]" caption="Dim_Loction3"/>
    <dimension name="Dim_Product2" uniqueName="[Dim_Product2]" caption="Dim_Product2"/>
    <dimension name="Dim_retailer1" uniqueName="[Dim_retailer1]" caption="Dim_retailer1"/>
    <dimension name="Fact_Sales_Adidas" uniqueName="[Fact_Sales_Adidas]" caption="Fact_Sales_Adidas"/>
    <dimension measure="1" name="Measures" uniqueName="[Measures]" caption="Measures"/>
  </dimensions>
  <measureGroups count="5">
    <measureGroup name="Dim_Date4" caption="Dim_Date4"/>
    <measureGroup name="Dim_Loction3" caption="Dim_Loction3"/>
    <measureGroup name="Dim_Product2" caption="Dim_Product2"/>
    <measureGroup name="Dim_retailer1" caption="Dim_retailer1"/>
    <measureGroup name="Fact_Sales_Adidas" caption="Fact_Sales_Adid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08.984350810184" backgroundQuery="1" createdVersion="8" refreshedVersion="8" minRefreshableVersion="3" recordCount="0" supportSubquery="1" supportAdvancedDrill="1" xr:uid="{484EBF32-CD5E-40E3-BEED-C3581A71A129}">
  <cacheSource type="external" connectionId="6"/>
  <cacheFields count="1">
    <cacheField name="[Measures].[ProfitMargin]" caption="ProfitMargin" numFmtId="0" hierarchy="30" level="32767"/>
  </cacheFields>
  <cacheHierarchies count="40">
    <cacheHierarchy uniqueName="[Dim_Date4].[Invoice Date]" caption="Invoice Date" attribute="1" time="1" defaultMemberUniqueName="[Dim_Date4].[Invoice Date].[All]" allUniqueName="[Dim_Date4].[Invoice Date].[All]" dimensionUniqueName="[Dim_Date4]" displayFolder="" count="0" memberValueDatatype="7" unbalanced="0"/>
    <cacheHierarchy uniqueName="[Dim_Date4].[Year]" caption="Year" attribute="1" defaultMemberUniqueName="[Dim_Date4].[Year].[All]" allUniqueName="[Dim_Date4].[Year].[All]" dimensionUniqueName="[Dim_Date4]" displayFolder="" count="0" memberValueDatatype="20" unbalanced="0"/>
    <cacheHierarchy uniqueName="[Dim_Date4].[Month]" caption="Month" attribute="1" defaultMemberUniqueName="[Dim_Date4].[Month].[All]" allUniqueName="[Dim_Date4].[Month].[All]" dimensionUniqueName="[Dim_Date4]" displayFolder="" count="0" memberValueDatatype="20" unbalanced="0"/>
    <cacheHierarchy uniqueName="[Dim_Date4].[Day]" caption="Day" attribute="1" defaultMemberUniqueName="[Dim_Date4].[Day].[All]" allUniqueName="[Dim_Date4].[Day].[All]" dimensionUniqueName="[Dim_Date4]" displayFolder="" count="0" memberValueDatatype="20" unbalanced="0"/>
    <cacheHierarchy uniqueName="[Dim_Date4].[Invoice Date (Year)]" caption="Invoice Date (Year)" attribute="1" defaultMemberUniqueName="[Dim_Date4].[Invoice Date (Year)].[All]" allUniqueName="[Dim_Date4].[Invoice Date (Year)].[All]" dimensionUniqueName="[Dim_Date4]" displayFolder="" count="0" memberValueDatatype="130" unbalanced="0"/>
    <cacheHierarchy uniqueName="[Dim_Date4].[Invoice Date (Quarter)]" caption="Invoice Date (Quarter)" attribute="1" defaultMemberUniqueName="[Dim_Date4].[Invoice Date (Quarter)].[All]" allUniqueName="[Dim_Date4].[Invoice Date (Quarter)].[All]" dimensionUniqueName="[Dim_Date4]" displayFolder="" count="0" memberValueDatatype="130" unbalanced="0"/>
    <cacheHierarchy uniqueName="[Dim_Date4].[Invoice Date (Month)]" caption="Invoice Date (Month)" attribute="1" defaultMemberUniqueName="[Dim_Date4].[Invoice Date (Month)].[All]" allUniqueName="[Dim_Date4].[Invoice Date (Month)].[All]" dimensionUniqueName="[Dim_Date4]" displayFolder="" count="0" memberValueDatatype="130" unbalanced="0"/>
    <cacheHierarchy uniqueName="[Dim_Loction3].[City]" caption="City" attribute="1" defaultMemberUniqueName="[Dim_Loction3].[City].[All]" allUniqueName="[Dim_Loction3].[City].[All]" dimensionUniqueName="[Dim_Loction3]" displayFolder="" count="0" memberValueDatatype="130" unbalanced="0"/>
    <cacheHierarchy uniqueName="[Dim_Loction3].[State]" caption="State" attribute="1" defaultMemberUniqueName="[Dim_Loction3].[State].[All]" allUniqueName="[Dim_Loction3].[State].[All]" dimensionUniqueName="[Dim_Loction3]" displayFolder="" count="0" memberValueDatatype="130" unbalanced="0"/>
    <cacheHierarchy uniqueName="[Dim_Loction3].[Region]" caption="Region" attribute="1" defaultMemberUniqueName="[Dim_Loction3].[Region].[All]" allUniqueName="[Dim_Loction3].[Region].[All]" dimensionUniqueName="[Dim_Loction3]" displayFolder="" count="0" memberValueDatatype="130" unbalanced="0"/>
    <cacheHierarchy uniqueName="[Dim_Product2].[Product]" caption="Product" attribute="1" defaultMemberUniqueName="[Dim_Product2].[Product].[All]" allUniqueName="[Dim_Product2].[Product].[All]" dimensionUniqueName="[Dim_Product2]" displayFolder="" count="0" memberValueDatatype="130" unbalanced="0"/>
    <cacheHierarchy uniqueName="[Dim_Product2].[Price per Unit]" caption="Price per Unit" attribute="1" defaultMemberUniqueName="[Dim_Product2].[Price per Unit].[All]" allUniqueName="[Dim_Product2].[Price per Unit].[All]" dimensionUniqueName="[Dim_Product2]" displayFolder="" count="0" memberValueDatatype="20" unbalanced="0"/>
    <cacheHierarchy uniqueName="[Dim_retailer1].[Retailer ID]" caption="Retailer ID" attribute="1" defaultMemberUniqueName="[Dim_retailer1].[Retailer ID].[All]" allUniqueName="[Dim_retailer1].[Retailer ID].[All]" dimensionUniqueName="[Dim_retailer1]" displayFolder="" count="0" memberValueDatatype="20" unbalanced="0"/>
    <cacheHierarchy uniqueName="[Dim_retailer1].[Retailer]" caption="Retailer" attribute="1" defaultMemberUniqueName="[Dim_retailer1].[Retailer].[All]" allUniqueName="[Dim_retailer1].[Retailer].[All]" dimensionUniqueName="[Dim_retailer1]" displayFolder="" count="0" memberValueDatatype="130" unbalanced="0"/>
    <cacheHierarchy uniqueName="[Fact_Sales_Adidas].[Retailer ID]" caption="Retailer ID" attribute="1" defaultMemberUniqueName="[Fact_Sales_Adidas].[Retailer ID].[All]" allUniqueName="[Fact_Sales_Adidas].[Retailer ID].[All]" dimensionUniqueName="[Fact_Sales_Adidas]" displayFolder="" count="0" memberValueDatatype="20" unbalanced="0"/>
    <cacheHierarchy uniqueName="[Fact_Sales_Adidas].[Invoice Date]" caption="Invoice Date" attribute="1" time="1" defaultMemberUniqueName="[Fact_Sales_Adidas].[Invoice Date].[All]" allUniqueName="[Fact_Sales_Adidas].[Invoice Date].[All]" dimensionUniqueName="[Fact_Sales_Adidas]" displayFolder="" count="0" memberValueDatatype="7" unbalanced="0"/>
    <cacheHierarchy uniqueName="[Fact_Sales_Adidas].[State]" caption="State" attribute="1" defaultMemberUniqueName="[Fact_Sales_Adidas].[State].[All]" allUniqueName="[Fact_Sales_Adidas].[State].[All]" dimensionUniqueName="[Fact_Sales_Adidas]" displayFolder="" count="0" memberValueDatatype="130" unbalanced="0"/>
    <cacheHierarchy uniqueName="[Fact_Sales_Adidas].[Product]" caption="Product" attribute="1" defaultMemberUniqueName="[Fact_Sales_Adidas].[Product].[All]" allUniqueName="[Fact_Sales_Adidas].[Product].[All]" dimensionUniqueName="[Fact_Sales_Adidas]" displayFolder="" count="0" memberValueDatatype="130" unbalanced="0"/>
    <cacheHierarchy uniqueName="[Fact_Sales_Adidas].[Units Sold]" caption="Units Sold" attribute="1" defaultMemberUniqueName="[Fact_Sales_Adidas].[Units Sold].[All]" allUniqueName="[Fact_Sales_Adidas].[Units Sold].[All]" dimensionUniqueName="[Fact_Sales_Adidas]" displayFolder="" count="0" memberValueDatatype="20" unbalanced="0"/>
    <cacheHierarchy uniqueName="[Fact_Sales_Adidas].[Total Sales]" caption="Total Sales" attribute="1" defaultMemberUniqueName="[Fact_Sales_Adidas].[Total Sales].[All]" allUniqueName="[Fact_Sales_Adidas].[Total Sales].[All]" dimensionUniqueName="[Fact_Sales_Adidas]" displayFolder="" count="0" memberValueDatatype="6" unbalanced="0"/>
    <cacheHierarchy uniqueName="[Fact_Sales_Adidas].[Operating Profit]" caption="Operating Profit" attribute="1" defaultMemberUniqueName="[Fact_Sales_Adidas].[Operating Profit].[All]" allUniqueName="[Fact_Sales_Adidas].[Operating Profit].[All]" dimensionUniqueName="[Fact_Sales_Adidas]" displayFolder="" count="0" memberValueDatatype="6" unbalanced="0"/>
    <cacheHierarchy uniqueName="[Fact_Sales_Adidas].[Operating Margin]" caption="Operating Margin" attribute="1" defaultMemberUniqueName="[Fact_Sales_Adidas].[Operating Margin].[All]" allUniqueName="[Fact_Sales_Adidas].[Operating Margin].[All]" dimensionUniqueName="[Fact_Sales_Adidas]" displayFolder="" count="0" memberValueDatatype="5" unbalanced="0"/>
    <cacheHierarchy uniqueName="[Fact_Sales_Adidas].[Sales Method]" caption="Sales Method" attribute="1" defaultMemberUniqueName="[Fact_Sales_Adidas].[Sales Method].[All]" allUniqueName="[Fact_Sales_Adidas].[Sales Method].[All]" dimensionUniqueName="[Fact_Sales_Adidas]" displayFolder="" count="0" memberValueDatatype="130" unbalanced="0"/>
    <cacheHierarchy uniqueName="[Fact_Sales_Adidas].[Revenue Per Unit]" caption="Revenue Per Unit" attribute="1" defaultMemberUniqueName="[Fact_Sales_Adidas].[Revenue Per Unit].[All]" allUniqueName="[Fact_Sales_Adidas].[Revenue Per Unit].[All]" dimensionUniqueName="[Fact_Sales_Adidas]" displayFolder="" count="0" memberValueDatatype="130" unbalanced="0"/>
    <cacheHierarchy uniqueName="[Fact_Sales_Adidas].[Profit Margin]" caption="Profit Margin" attribute="1" defaultMemberUniqueName="[Fact_Sales_Adidas].[Profit Margin].[All]" allUniqueName="[Fact_Sales_Adidas].[Profit Margin].[All]" dimensionUniqueName="[Fact_Sales_Adidas]" displayFolder="" count="0" memberValueDatatype="5" unbalanced="0"/>
    <cacheHierarchy uniqueName="[Fact_Sales_Adidas].[Profit per Unit]" caption="Profit per Unit" attribute="1" defaultMemberUniqueName="[Fact_Sales_Adidas].[Profit per Unit].[All]" allUniqueName="[Fact_Sales_Adidas].[Profit per Unit].[All]" dimensionUniqueName="[Fact_Sales_Adidas]" displayFolder="" count="0" memberValueDatatype="130" unbalanced="0"/>
    <cacheHierarchy uniqueName="[Dim_Date4].[Invoice Date (Month Index)]" caption="Invoice Date (Month Index)" attribute="1" defaultMemberUniqueName="[Dim_Date4].[Invoice Date (Month Index)].[All]" allUniqueName="[Dim_Date4].[Invoice Date (Month Index)].[All]" dimensionUniqueName="[Dim_Date4]" displayFolder="" count="0" memberValueDatatype="20" unbalanced="0" hidden="1"/>
    <cacheHierarchy uniqueName="[Measures].[Sum of Total Sales]" caption="Sum of Total Sales" measure="1" displayFolder="" measureGroup="Fact_Sales_Adida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Sales]" caption="TotalSales" measure="1" displayFolder="" measureGroup="Fact_Sales_Adidas" count="0"/>
    <cacheHierarchy uniqueName="[Measures].[Total Profit]" caption="Total Profit" measure="1" displayFolder="" measureGroup="Fact_Sales_Adidas" count="0"/>
    <cacheHierarchy uniqueName="[Measures].[ProfitMargin]" caption="ProfitMargin" measure="1" displayFolder="" measureGroup="Fact_Sales_Adidas" count="0" oneField="1">
      <fieldsUsage count="1">
        <fieldUsage x="0"/>
      </fieldsUsage>
    </cacheHierarchy>
    <cacheHierarchy uniqueName="[Measures].[Total Unit]" caption="Total Unit" measure="1" displayFolder="" measureGroup="Fact_Sales_Adidas" count="0"/>
    <cacheHierarchy uniqueName="[Measures].[avg price per unit]" caption="avg price per unit" measure="1" displayFolder="" measureGroup="Fact_Sales_Adidas" count="0"/>
    <cacheHierarchy uniqueName="[Measures].[Sales PY]" caption="Sales PY" measure="1" displayFolder="" measureGroup="Fact_Sales_Adidas" count="0"/>
    <cacheHierarchy uniqueName="[Measures].[__XL_Count Fact_Sales_Adidas]" caption="__XL_Count Fact_Sales_Adidas" measure="1" displayFolder="" measureGroup="Fact_Sales_Adidas" count="0" hidden="1"/>
    <cacheHierarchy uniqueName="[Measures].[__XL_Count Dim_retailer1]" caption="__XL_Count Dim_retailer1" measure="1" displayFolder="" measureGroup="Dim_retailer1" count="0" hidden="1"/>
    <cacheHierarchy uniqueName="[Measures].[__XL_Count Dim_Loction3]" caption="__XL_Count Dim_Loction3" measure="1" displayFolder="" measureGroup="Dim_Loction3" count="0" hidden="1"/>
    <cacheHierarchy uniqueName="[Measures].[__XL_Count Dim_Product2]" caption="__XL_Count Dim_Product2" measure="1" displayFolder="" measureGroup="Dim_Product2" count="0" hidden="1"/>
    <cacheHierarchy uniqueName="[Measures].[__XL_Count Dim_Date4]" caption="__XL_Count Dim_Date4" measure="1" displayFolder="" measureGroup="Dim_Date4" count="0" hidden="1"/>
    <cacheHierarchy uniqueName="[Measures].[__No measures defined]" caption="__No measures defined" measure="1" displayFolder="" count="0" hidden="1"/>
  </cacheHierarchies>
  <kpis count="0"/>
  <dimensions count="6">
    <dimension name="Dim_Date4" uniqueName="[Dim_Date4]" caption="Dim_Date4"/>
    <dimension name="Dim_Loction3" uniqueName="[Dim_Loction3]" caption="Dim_Loction3"/>
    <dimension name="Dim_Product2" uniqueName="[Dim_Product2]" caption="Dim_Product2"/>
    <dimension name="Dim_retailer1" uniqueName="[Dim_retailer1]" caption="Dim_retailer1"/>
    <dimension name="Fact_Sales_Adidas" uniqueName="[Fact_Sales_Adidas]" caption="Fact_Sales_Adidas"/>
    <dimension measure="1" name="Measures" uniqueName="[Measures]" caption="Measures"/>
  </dimensions>
  <measureGroups count="5">
    <measureGroup name="Dim_Date4" caption="Dim_Date4"/>
    <measureGroup name="Dim_Loction3" caption="Dim_Loction3"/>
    <measureGroup name="Dim_Product2" caption="Dim_Product2"/>
    <measureGroup name="Dim_retailer1" caption="Dim_retailer1"/>
    <measureGroup name="Fact_Sales_Adidas" caption="Fact_Sales_Adid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08.984352199077" backgroundQuery="1" createdVersion="8" refreshedVersion="8" minRefreshableVersion="3" recordCount="0" supportSubquery="1" supportAdvancedDrill="1" xr:uid="{299BDEBB-0778-41A2-BBDE-C551B1AF619F}">
  <cacheSource type="external" connectionId="6"/>
  <cacheFields count="1">
    <cacheField name="[Measures].[Total Unit]" caption="Total Unit" numFmtId="0" hierarchy="31" level="32767"/>
  </cacheFields>
  <cacheHierarchies count="40">
    <cacheHierarchy uniqueName="[Dim_Date4].[Invoice Date]" caption="Invoice Date" attribute="1" time="1" defaultMemberUniqueName="[Dim_Date4].[Invoice Date].[All]" allUniqueName="[Dim_Date4].[Invoice Date].[All]" dimensionUniqueName="[Dim_Date4]" displayFolder="" count="0" memberValueDatatype="7" unbalanced="0"/>
    <cacheHierarchy uniqueName="[Dim_Date4].[Year]" caption="Year" attribute="1" defaultMemberUniqueName="[Dim_Date4].[Year].[All]" allUniqueName="[Dim_Date4].[Year].[All]" dimensionUniqueName="[Dim_Date4]" displayFolder="" count="0" memberValueDatatype="20" unbalanced="0"/>
    <cacheHierarchy uniqueName="[Dim_Date4].[Month]" caption="Month" attribute="1" defaultMemberUniqueName="[Dim_Date4].[Month].[All]" allUniqueName="[Dim_Date4].[Month].[All]" dimensionUniqueName="[Dim_Date4]" displayFolder="" count="0" memberValueDatatype="20" unbalanced="0"/>
    <cacheHierarchy uniqueName="[Dim_Date4].[Day]" caption="Day" attribute="1" defaultMemberUniqueName="[Dim_Date4].[Day].[All]" allUniqueName="[Dim_Date4].[Day].[All]" dimensionUniqueName="[Dim_Date4]" displayFolder="" count="0" memberValueDatatype="20" unbalanced="0"/>
    <cacheHierarchy uniqueName="[Dim_Date4].[Invoice Date (Year)]" caption="Invoice Date (Year)" attribute="1" defaultMemberUniqueName="[Dim_Date4].[Invoice Date (Year)].[All]" allUniqueName="[Dim_Date4].[Invoice Date (Year)].[All]" dimensionUniqueName="[Dim_Date4]" displayFolder="" count="0" memberValueDatatype="130" unbalanced="0"/>
    <cacheHierarchy uniqueName="[Dim_Date4].[Invoice Date (Quarter)]" caption="Invoice Date (Quarter)" attribute="1" defaultMemberUniqueName="[Dim_Date4].[Invoice Date (Quarter)].[All]" allUniqueName="[Dim_Date4].[Invoice Date (Quarter)].[All]" dimensionUniqueName="[Dim_Date4]" displayFolder="" count="0" memberValueDatatype="130" unbalanced="0"/>
    <cacheHierarchy uniqueName="[Dim_Date4].[Invoice Date (Month)]" caption="Invoice Date (Month)" attribute="1" defaultMemberUniqueName="[Dim_Date4].[Invoice Date (Month)].[All]" allUniqueName="[Dim_Date4].[Invoice Date (Month)].[All]" dimensionUniqueName="[Dim_Date4]" displayFolder="" count="0" memberValueDatatype="130" unbalanced="0"/>
    <cacheHierarchy uniqueName="[Dim_Loction3].[City]" caption="City" attribute="1" defaultMemberUniqueName="[Dim_Loction3].[City].[All]" allUniqueName="[Dim_Loction3].[City].[All]" dimensionUniqueName="[Dim_Loction3]" displayFolder="" count="0" memberValueDatatype="130" unbalanced="0"/>
    <cacheHierarchy uniqueName="[Dim_Loction3].[State]" caption="State" attribute="1" defaultMemberUniqueName="[Dim_Loction3].[State].[All]" allUniqueName="[Dim_Loction3].[State].[All]" dimensionUniqueName="[Dim_Loction3]" displayFolder="" count="0" memberValueDatatype="130" unbalanced="0"/>
    <cacheHierarchy uniqueName="[Dim_Loction3].[Region]" caption="Region" attribute="1" defaultMemberUniqueName="[Dim_Loction3].[Region].[All]" allUniqueName="[Dim_Loction3].[Region].[All]" dimensionUniqueName="[Dim_Loction3]" displayFolder="" count="0" memberValueDatatype="130" unbalanced="0"/>
    <cacheHierarchy uniqueName="[Dim_Product2].[Product]" caption="Product" attribute="1" defaultMemberUniqueName="[Dim_Product2].[Product].[All]" allUniqueName="[Dim_Product2].[Product].[All]" dimensionUniqueName="[Dim_Product2]" displayFolder="" count="0" memberValueDatatype="130" unbalanced="0"/>
    <cacheHierarchy uniqueName="[Dim_Product2].[Price per Unit]" caption="Price per Unit" attribute="1" defaultMemberUniqueName="[Dim_Product2].[Price per Unit].[All]" allUniqueName="[Dim_Product2].[Price per Unit].[All]" dimensionUniqueName="[Dim_Product2]" displayFolder="" count="0" memberValueDatatype="20" unbalanced="0"/>
    <cacheHierarchy uniqueName="[Dim_retailer1].[Retailer ID]" caption="Retailer ID" attribute="1" defaultMemberUniqueName="[Dim_retailer1].[Retailer ID].[All]" allUniqueName="[Dim_retailer1].[Retailer ID].[All]" dimensionUniqueName="[Dim_retailer1]" displayFolder="" count="0" memberValueDatatype="20" unbalanced="0"/>
    <cacheHierarchy uniqueName="[Dim_retailer1].[Retailer]" caption="Retailer" attribute="1" defaultMemberUniqueName="[Dim_retailer1].[Retailer].[All]" allUniqueName="[Dim_retailer1].[Retailer].[All]" dimensionUniqueName="[Dim_retailer1]" displayFolder="" count="0" memberValueDatatype="130" unbalanced="0"/>
    <cacheHierarchy uniqueName="[Fact_Sales_Adidas].[Retailer ID]" caption="Retailer ID" attribute="1" defaultMemberUniqueName="[Fact_Sales_Adidas].[Retailer ID].[All]" allUniqueName="[Fact_Sales_Adidas].[Retailer ID].[All]" dimensionUniqueName="[Fact_Sales_Adidas]" displayFolder="" count="0" memberValueDatatype="20" unbalanced="0"/>
    <cacheHierarchy uniqueName="[Fact_Sales_Adidas].[Invoice Date]" caption="Invoice Date" attribute="1" time="1" defaultMemberUniqueName="[Fact_Sales_Adidas].[Invoice Date].[All]" allUniqueName="[Fact_Sales_Adidas].[Invoice Date].[All]" dimensionUniqueName="[Fact_Sales_Adidas]" displayFolder="" count="0" memberValueDatatype="7" unbalanced="0"/>
    <cacheHierarchy uniqueName="[Fact_Sales_Adidas].[State]" caption="State" attribute="1" defaultMemberUniqueName="[Fact_Sales_Adidas].[State].[All]" allUniqueName="[Fact_Sales_Adidas].[State].[All]" dimensionUniqueName="[Fact_Sales_Adidas]" displayFolder="" count="0" memberValueDatatype="130" unbalanced="0"/>
    <cacheHierarchy uniqueName="[Fact_Sales_Adidas].[Product]" caption="Product" attribute="1" defaultMemberUniqueName="[Fact_Sales_Adidas].[Product].[All]" allUniqueName="[Fact_Sales_Adidas].[Product].[All]" dimensionUniqueName="[Fact_Sales_Adidas]" displayFolder="" count="0" memberValueDatatype="130" unbalanced="0"/>
    <cacheHierarchy uniqueName="[Fact_Sales_Adidas].[Units Sold]" caption="Units Sold" attribute="1" defaultMemberUniqueName="[Fact_Sales_Adidas].[Units Sold].[All]" allUniqueName="[Fact_Sales_Adidas].[Units Sold].[All]" dimensionUniqueName="[Fact_Sales_Adidas]" displayFolder="" count="0" memberValueDatatype="20" unbalanced="0"/>
    <cacheHierarchy uniqueName="[Fact_Sales_Adidas].[Total Sales]" caption="Total Sales" attribute="1" defaultMemberUniqueName="[Fact_Sales_Adidas].[Total Sales].[All]" allUniqueName="[Fact_Sales_Adidas].[Total Sales].[All]" dimensionUniqueName="[Fact_Sales_Adidas]" displayFolder="" count="0" memberValueDatatype="6" unbalanced="0"/>
    <cacheHierarchy uniqueName="[Fact_Sales_Adidas].[Operating Profit]" caption="Operating Profit" attribute="1" defaultMemberUniqueName="[Fact_Sales_Adidas].[Operating Profit].[All]" allUniqueName="[Fact_Sales_Adidas].[Operating Profit].[All]" dimensionUniqueName="[Fact_Sales_Adidas]" displayFolder="" count="0" memberValueDatatype="6" unbalanced="0"/>
    <cacheHierarchy uniqueName="[Fact_Sales_Adidas].[Operating Margin]" caption="Operating Margin" attribute="1" defaultMemberUniqueName="[Fact_Sales_Adidas].[Operating Margin].[All]" allUniqueName="[Fact_Sales_Adidas].[Operating Margin].[All]" dimensionUniqueName="[Fact_Sales_Adidas]" displayFolder="" count="0" memberValueDatatype="5" unbalanced="0"/>
    <cacheHierarchy uniqueName="[Fact_Sales_Adidas].[Sales Method]" caption="Sales Method" attribute="1" defaultMemberUniqueName="[Fact_Sales_Adidas].[Sales Method].[All]" allUniqueName="[Fact_Sales_Adidas].[Sales Method].[All]" dimensionUniqueName="[Fact_Sales_Adidas]" displayFolder="" count="0" memberValueDatatype="130" unbalanced="0"/>
    <cacheHierarchy uniqueName="[Fact_Sales_Adidas].[Revenue Per Unit]" caption="Revenue Per Unit" attribute="1" defaultMemberUniqueName="[Fact_Sales_Adidas].[Revenue Per Unit].[All]" allUniqueName="[Fact_Sales_Adidas].[Revenue Per Unit].[All]" dimensionUniqueName="[Fact_Sales_Adidas]" displayFolder="" count="0" memberValueDatatype="130" unbalanced="0"/>
    <cacheHierarchy uniqueName="[Fact_Sales_Adidas].[Profit Margin]" caption="Profit Margin" attribute="1" defaultMemberUniqueName="[Fact_Sales_Adidas].[Profit Margin].[All]" allUniqueName="[Fact_Sales_Adidas].[Profit Margin].[All]" dimensionUniqueName="[Fact_Sales_Adidas]" displayFolder="" count="0" memberValueDatatype="5" unbalanced="0"/>
    <cacheHierarchy uniqueName="[Fact_Sales_Adidas].[Profit per Unit]" caption="Profit per Unit" attribute="1" defaultMemberUniqueName="[Fact_Sales_Adidas].[Profit per Unit].[All]" allUniqueName="[Fact_Sales_Adidas].[Profit per Unit].[All]" dimensionUniqueName="[Fact_Sales_Adidas]" displayFolder="" count="0" memberValueDatatype="130" unbalanced="0"/>
    <cacheHierarchy uniqueName="[Dim_Date4].[Invoice Date (Month Index)]" caption="Invoice Date (Month Index)" attribute="1" defaultMemberUniqueName="[Dim_Date4].[Invoice Date (Month Index)].[All]" allUniqueName="[Dim_Date4].[Invoice Date (Month Index)].[All]" dimensionUniqueName="[Dim_Date4]" displayFolder="" count="0" memberValueDatatype="20" unbalanced="0" hidden="1"/>
    <cacheHierarchy uniqueName="[Measures].[Sum of Total Sales]" caption="Sum of Total Sales" measure="1" displayFolder="" measureGroup="Fact_Sales_Adida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Sales]" caption="TotalSales" measure="1" displayFolder="" measureGroup="Fact_Sales_Adidas" count="0"/>
    <cacheHierarchy uniqueName="[Measures].[Total Profit]" caption="Total Profit" measure="1" displayFolder="" measureGroup="Fact_Sales_Adidas" count="0"/>
    <cacheHierarchy uniqueName="[Measures].[ProfitMargin]" caption="ProfitMargin" measure="1" displayFolder="" measureGroup="Fact_Sales_Adidas" count="0"/>
    <cacheHierarchy uniqueName="[Measures].[Total Unit]" caption="Total Unit" measure="1" displayFolder="" measureGroup="Fact_Sales_Adidas" count="0" oneField="1">
      <fieldsUsage count="1">
        <fieldUsage x="0"/>
      </fieldsUsage>
    </cacheHierarchy>
    <cacheHierarchy uniqueName="[Measures].[avg price per unit]" caption="avg price per unit" measure="1" displayFolder="" measureGroup="Fact_Sales_Adidas" count="0"/>
    <cacheHierarchy uniqueName="[Measures].[Sales PY]" caption="Sales PY" measure="1" displayFolder="" measureGroup="Fact_Sales_Adidas" count="0"/>
    <cacheHierarchy uniqueName="[Measures].[__XL_Count Fact_Sales_Adidas]" caption="__XL_Count Fact_Sales_Adidas" measure="1" displayFolder="" measureGroup="Fact_Sales_Adidas" count="0" hidden="1"/>
    <cacheHierarchy uniqueName="[Measures].[__XL_Count Dim_retailer1]" caption="__XL_Count Dim_retailer1" measure="1" displayFolder="" measureGroup="Dim_retailer1" count="0" hidden="1"/>
    <cacheHierarchy uniqueName="[Measures].[__XL_Count Dim_Loction3]" caption="__XL_Count Dim_Loction3" measure="1" displayFolder="" measureGroup="Dim_Loction3" count="0" hidden="1"/>
    <cacheHierarchy uniqueName="[Measures].[__XL_Count Dim_Product2]" caption="__XL_Count Dim_Product2" measure="1" displayFolder="" measureGroup="Dim_Product2" count="0" hidden="1"/>
    <cacheHierarchy uniqueName="[Measures].[__XL_Count Dim_Date4]" caption="__XL_Count Dim_Date4" measure="1" displayFolder="" measureGroup="Dim_Date4" count="0" hidden="1"/>
    <cacheHierarchy uniqueName="[Measures].[__No measures defined]" caption="__No measures defined" measure="1" displayFolder="" count="0" hidden="1"/>
  </cacheHierarchies>
  <kpis count="0"/>
  <dimensions count="6">
    <dimension name="Dim_Date4" uniqueName="[Dim_Date4]" caption="Dim_Date4"/>
    <dimension name="Dim_Loction3" uniqueName="[Dim_Loction3]" caption="Dim_Loction3"/>
    <dimension name="Dim_Product2" uniqueName="[Dim_Product2]" caption="Dim_Product2"/>
    <dimension name="Dim_retailer1" uniqueName="[Dim_retailer1]" caption="Dim_retailer1"/>
    <dimension name="Fact_Sales_Adidas" uniqueName="[Fact_Sales_Adidas]" caption="Fact_Sales_Adidas"/>
    <dimension measure="1" name="Measures" uniqueName="[Measures]" caption="Measures"/>
  </dimensions>
  <measureGroups count="5">
    <measureGroup name="Dim_Date4" caption="Dim_Date4"/>
    <measureGroup name="Dim_Loction3" caption="Dim_Loction3"/>
    <measureGroup name="Dim_Product2" caption="Dim_Product2"/>
    <measureGroup name="Dim_retailer1" caption="Dim_retailer1"/>
    <measureGroup name="Fact_Sales_Adidas" caption="Fact_Sales_Adid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08.984353819447" backgroundQuery="1" createdVersion="8" refreshedVersion="8" minRefreshableVersion="3" recordCount="0" supportSubquery="1" supportAdvancedDrill="1" xr:uid="{EF4D6C33-7B9A-498E-A948-87E964DA8F15}">
  <cacheSource type="external" connectionId="6"/>
  <cacheFields count="6">
    <cacheField name="[Dim_Date4].[Invoice Date].[Invoice Date]" caption="Invoice Date" numFmtId="0" level="1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</cacheField>
    <cacheField name="[Dim_Date4].[Invoice Date (Month)].[Invoice Date (Month)]" caption="Invoice Date (Month)" numFmtId="0" hierarchy="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Dim_Date4].[Invoice Date (Quarter)].[Invoice Date (Quarter)]" caption="Invoice Date (Quarter)" numFmtId="0" hierarchy="5" level="1">
      <sharedItems count="4">
        <s v="Qtr1"/>
        <s v="Qtr2"/>
        <s v="Qtr3"/>
        <s v="Qtr4"/>
      </sharedItems>
    </cacheField>
    <cacheField name="[Dim_Date4].[Invoice Date (Year)].[Invoice Date (Year)]" caption="Invoice Date (Year)" numFmtId="0" hierarchy="4" level="1">
      <sharedItems count="2">
        <s v="2020"/>
        <s v="2021"/>
      </sharedItems>
    </cacheField>
    <cacheField name="[Measures].[TotalSales]" caption="TotalSales" numFmtId="0" hierarchy="28" level="32767"/>
    <cacheField name="[Measures].[Total Profit]" caption="Total Profit" numFmtId="0" hierarchy="29" level="32767"/>
  </cacheFields>
  <cacheHierarchies count="40">
    <cacheHierarchy uniqueName="[Dim_Date4].[Invoice Date]" caption="Invoice Date" attribute="1" time="1" defaultMemberUniqueName="[Dim_Date4].[Invoice Date].[All]" allUniqueName="[Dim_Date4].[Invoice Date].[All]" dimensionUniqueName="[Dim_Date4]" displayFolder="" count="2" memberValueDatatype="7" unbalanced="0">
      <fieldsUsage count="2">
        <fieldUsage x="-1"/>
        <fieldUsage x="0"/>
      </fieldsUsage>
    </cacheHierarchy>
    <cacheHierarchy uniqueName="[Dim_Date4].[Year]" caption="Year" attribute="1" defaultMemberUniqueName="[Dim_Date4].[Year].[All]" allUniqueName="[Dim_Date4].[Year].[All]" dimensionUniqueName="[Dim_Date4]" displayFolder="" count="0" memberValueDatatype="20" unbalanced="0"/>
    <cacheHierarchy uniqueName="[Dim_Date4].[Month]" caption="Month" attribute="1" defaultMemberUniqueName="[Dim_Date4].[Month].[All]" allUniqueName="[Dim_Date4].[Month].[All]" dimensionUniqueName="[Dim_Date4]" displayFolder="" count="0" memberValueDatatype="20" unbalanced="0"/>
    <cacheHierarchy uniqueName="[Dim_Date4].[Day]" caption="Day" attribute="1" defaultMemberUniqueName="[Dim_Date4].[Day].[All]" allUniqueName="[Dim_Date4].[Day].[All]" dimensionUniqueName="[Dim_Date4]" displayFolder="" count="0" memberValueDatatype="20" unbalanced="0"/>
    <cacheHierarchy uniqueName="[Dim_Date4].[Invoice Date (Year)]" caption="Invoice Date (Year)" attribute="1" defaultMemberUniqueName="[Dim_Date4].[Invoice Date (Year)].[All]" allUniqueName="[Dim_Date4].[Invoice Date (Year)].[All]" dimensionUniqueName="[Dim_Date4]" displayFolder="" count="2" memberValueDatatype="130" unbalanced="0">
      <fieldsUsage count="2">
        <fieldUsage x="-1"/>
        <fieldUsage x="3"/>
      </fieldsUsage>
    </cacheHierarchy>
    <cacheHierarchy uniqueName="[Dim_Date4].[Invoice Date (Quarter)]" caption="Invoice Date (Quarter)" attribute="1" defaultMemberUniqueName="[Dim_Date4].[Invoice Date (Quarter)].[All]" allUniqueName="[Dim_Date4].[Invoice Date (Quarter)].[All]" dimensionUniqueName="[Dim_Date4]" displayFolder="" count="2" memberValueDatatype="130" unbalanced="0">
      <fieldsUsage count="2">
        <fieldUsage x="-1"/>
        <fieldUsage x="2"/>
      </fieldsUsage>
    </cacheHierarchy>
    <cacheHierarchy uniqueName="[Dim_Date4].[Invoice Date (Month)]" caption="Invoice Date (Month)" attribute="1" defaultMemberUniqueName="[Dim_Date4].[Invoice Date (Month)].[All]" allUniqueName="[Dim_Date4].[Invoice Date (Month)].[All]" dimensionUniqueName="[Dim_Date4]" displayFolder="" count="2" memberValueDatatype="130" unbalanced="0">
      <fieldsUsage count="2">
        <fieldUsage x="-1"/>
        <fieldUsage x="1"/>
      </fieldsUsage>
    </cacheHierarchy>
    <cacheHierarchy uniqueName="[Dim_Loction3].[City]" caption="City" attribute="1" defaultMemberUniqueName="[Dim_Loction3].[City].[All]" allUniqueName="[Dim_Loction3].[City].[All]" dimensionUniqueName="[Dim_Loction3]" displayFolder="" count="0" memberValueDatatype="130" unbalanced="0"/>
    <cacheHierarchy uniqueName="[Dim_Loction3].[State]" caption="State" attribute="1" defaultMemberUniqueName="[Dim_Loction3].[State].[All]" allUniqueName="[Dim_Loction3].[State].[All]" dimensionUniqueName="[Dim_Loction3]" displayFolder="" count="0" memberValueDatatype="130" unbalanced="0"/>
    <cacheHierarchy uniqueName="[Dim_Loction3].[Region]" caption="Region" attribute="1" defaultMemberUniqueName="[Dim_Loction3].[Region].[All]" allUniqueName="[Dim_Loction3].[Region].[All]" dimensionUniqueName="[Dim_Loction3]" displayFolder="" count="0" memberValueDatatype="130" unbalanced="0"/>
    <cacheHierarchy uniqueName="[Dim_Product2].[Product]" caption="Product" attribute="1" defaultMemberUniqueName="[Dim_Product2].[Product].[All]" allUniqueName="[Dim_Product2].[Product].[All]" dimensionUniqueName="[Dim_Product2]" displayFolder="" count="0" memberValueDatatype="130" unbalanced="0"/>
    <cacheHierarchy uniqueName="[Dim_Product2].[Price per Unit]" caption="Price per Unit" attribute="1" defaultMemberUniqueName="[Dim_Product2].[Price per Unit].[All]" allUniqueName="[Dim_Product2].[Price per Unit].[All]" dimensionUniqueName="[Dim_Product2]" displayFolder="" count="0" memberValueDatatype="20" unbalanced="0"/>
    <cacheHierarchy uniqueName="[Dim_retailer1].[Retailer ID]" caption="Retailer ID" attribute="1" defaultMemberUniqueName="[Dim_retailer1].[Retailer ID].[All]" allUniqueName="[Dim_retailer1].[Retailer ID].[All]" dimensionUniqueName="[Dim_retailer1]" displayFolder="" count="0" memberValueDatatype="20" unbalanced="0"/>
    <cacheHierarchy uniqueName="[Dim_retailer1].[Retailer]" caption="Retailer" attribute="1" defaultMemberUniqueName="[Dim_retailer1].[Retailer].[All]" allUniqueName="[Dim_retailer1].[Retailer].[All]" dimensionUniqueName="[Dim_retailer1]" displayFolder="" count="0" memberValueDatatype="130" unbalanced="0"/>
    <cacheHierarchy uniqueName="[Fact_Sales_Adidas].[Retailer ID]" caption="Retailer ID" attribute="1" defaultMemberUniqueName="[Fact_Sales_Adidas].[Retailer ID].[All]" allUniqueName="[Fact_Sales_Adidas].[Retailer ID].[All]" dimensionUniqueName="[Fact_Sales_Adidas]" displayFolder="" count="0" memberValueDatatype="20" unbalanced="0"/>
    <cacheHierarchy uniqueName="[Fact_Sales_Adidas].[Invoice Date]" caption="Invoice Date" attribute="1" time="1" defaultMemberUniqueName="[Fact_Sales_Adidas].[Invoice Date].[All]" allUniqueName="[Fact_Sales_Adidas].[Invoice Date].[All]" dimensionUniqueName="[Fact_Sales_Adidas]" displayFolder="" count="0" memberValueDatatype="7" unbalanced="0"/>
    <cacheHierarchy uniqueName="[Fact_Sales_Adidas].[State]" caption="State" attribute="1" defaultMemberUniqueName="[Fact_Sales_Adidas].[State].[All]" allUniqueName="[Fact_Sales_Adidas].[State].[All]" dimensionUniqueName="[Fact_Sales_Adidas]" displayFolder="" count="0" memberValueDatatype="130" unbalanced="0"/>
    <cacheHierarchy uniqueName="[Fact_Sales_Adidas].[Product]" caption="Product" attribute="1" defaultMemberUniqueName="[Fact_Sales_Adidas].[Product].[All]" allUniqueName="[Fact_Sales_Adidas].[Product].[All]" dimensionUniqueName="[Fact_Sales_Adidas]" displayFolder="" count="0" memberValueDatatype="130" unbalanced="0"/>
    <cacheHierarchy uniqueName="[Fact_Sales_Adidas].[Units Sold]" caption="Units Sold" attribute="1" defaultMemberUniqueName="[Fact_Sales_Adidas].[Units Sold].[All]" allUniqueName="[Fact_Sales_Adidas].[Units Sold].[All]" dimensionUniqueName="[Fact_Sales_Adidas]" displayFolder="" count="0" memberValueDatatype="20" unbalanced="0"/>
    <cacheHierarchy uniqueName="[Fact_Sales_Adidas].[Total Sales]" caption="Total Sales" attribute="1" defaultMemberUniqueName="[Fact_Sales_Adidas].[Total Sales].[All]" allUniqueName="[Fact_Sales_Adidas].[Total Sales].[All]" dimensionUniqueName="[Fact_Sales_Adidas]" displayFolder="" count="0" memberValueDatatype="6" unbalanced="0"/>
    <cacheHierarchy uniqueName="[Fact_Sales_Adidas].[Operating Profit]" caption="Operating Profit" attribute="1" defaultMemberUniqueName="[Fact_Sales_Adidas].[Operating Profit].[All]" allUniqueName="[Fact_Sales_Adidas].[Operating Profit].[All]" dimensionUniqueName="[Fact_Sales_Adidas]" displayFolder="" count="0" memberValueDatatype="6" unbalanced="0"/>
    <cacheHierarchy uniqueName="[Fact_Sales_Adidas].[Operating Margin]" caption="Operating Margin" attribute="1" defaultMemberUniqueName="[Fact_Sales_Adidas].[Operating Margin].[All]" allUniqueName="[Fact_Sales_Adidas].[Operating Margin].[All]" dimensionUniqueName="[Fact_Sales_Adidas]" displayFolder="" count="0" memberValueDatatype="5" unbalanced="0"/>
    <cacheHierarchy uniqueName="[Fact_Sales_Adidas].[Sales Method]" caption="Sales Method" attribute="1" defaultMemberUniqueName="[Fact_Sales_Adidas].[Sales Method].[All]" allUniqueName="[Fact_Sales_Adidas].[Sales Method].[All]" dimensionUniqueName="[Fact_Sales_Adidas]" displayFolder="" count="0" memberValueDatatype="130" unbalanced="0"/>
    <cacheHierarchy uniqueName="[Fact_Sales_Adidas].[Revenue Per Unit]" caption="Revenue Per Unit" attribute="1" defaultMemberUniqueName="[Fact_Sales_Adidas].[Revenue Per Unit].[All]" allUniqueName="[Fact_Sales_Adidas].[Revenue Per Unit].[All]" dimensionUniqueName="[Fact_Sales_Adidas]" displayFolder="" count="0" memberValueDatatype="130" unbalanced="0"/>
    <cacheHierarchy uniqueName="[Fact_Sales_Adidas].[Profit Margin]" caption="Profit Margin" attribute="1" defaultMemberUniqueName="[Fact_Sales_Adidas].[Profit Margin].[All]" allUniqueName="[Fact_Sales_Adidas].[Profit Margin].[All]" dimensionUniqueName="[Fact_Sales_Adidas]" displayFolder="" count="0" memberValueDatatype="5" unbalanced="0"/>
    <cacheHierarchy uniqueName="[Fact_Sales_Adidas].[Profit per Unit]" caption="Profit per Unit" attribute="1" defaultMemberUniqueName="[Fact_Sales_Adidas].[Profit per Unit].[All]" allUniqueName="[Fact_Sales_Adidas].[Profit per Unit].[All]" dimensionUniqueName="[Fact_Sales_Adidas]" displayFolder="" count="0" memberValueDatatype="130" unbalanced="0"/>
    <cacheHierarchy uniqueName="[Dim_Date4].[Invoice Date (Month Index)]" caption="Invoice Date (Month Index)" attribute="1" defaultMemberUniqueName="[Dim_Date4].[Invoice Date (Month Index)].[All]" allUniqueName="[Dim_Date4].[Invoice Date (Month Index)].[All]" dimensionUniqueName="[Dim_Date4]" displayFolder="" count="0" memberValueDatatype="20" unbalanced="0" hidden="1"/>
    <cacheHierarchy uniqueName="[Measures].[Sum of Total Sales]" caption="Sum of Total Sales" measure="1" displayFolder="" measureGroup="Fact_Sales_Adida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Sales]" caption="TotalSales" measure="1" displayFolder="" measureGroup="Fact_Sales_Adidas" count="0" oneField="1">
      <fieldsUsage count="1">
        <fieldUsage x="4"/>
      </fieldsUsage>
    </cacheHierarchy>
    <cacheHierarchy uniqueName="[Measures].[Total Profit]" caption="Total Profit" measure="1" displayFolder="" measureGroup="Fact_Sales_Adidas" count="0" oneField="1">
      <fieldsUsage count="1">
        <fieldUsage x="5"/>
      </fieldsUsage>
    </cacheHierarchy>
    <cacheHierarchy uniqueName="[Measures].[ProfitMargin]" caption="ProfitMargin" measure="1" displayFolder="" measureGroup="Fact_Sales_Adidas" count="0"/>
    <cacheHierarchy uniqueName="[Measures].[Total Unit]" caption="Total Unit" measure="1" displayFolder="" measureGroup="Fact_Sales_Adidas" count="0"/>
    <cacheHierarchy uniqueName="[Measures].[avg price per unit]" caption="avg price per unit" measure="1" displayFolder="" measureGroup="Fact_Sales_Adidas" count="0"/>
    <cacheHierarchy uniqueName="[Measures].[Sales PY]" caption="Sales PY" measure="1" displayFolder="" measureGroup="Fact_Sales_Adidas" count="0"/>
    <cacheHierarchy uniqueName="[Measures].[__XL_Count Fact_Sales_Adidas]" caption="__XL_Count Fact_Sales_Adidas" measure="1" displayFolder="" measureGroup="Fact_Sales_Adidas" count="0" hidden="1"/>
    <cacheHierarchy uniqueName="[Measures].[__XL_Count Dim_retailer1]" caption="__XL_Count Dim_retailer1" measure="1" displayFolder="" measureGroup="Dim_retailer1" count="0" hidden="1"/>
    <cacheHierarchy uniqueName="[Measures].[__XL_Count Dim_Loction3]" caption="__XL_Count Dim_Loction3" measure="1" displayFolder="" measureGroup="Dim_Loction3" count="0" hidden="1"/>
    <cacheHierarchy uniqueName="[Measures].[__XL_Count Dim_Product2]" caption="__XL_Count Dim_Product2" measure="1" displayFolder="" measureGroup="Dim_Product2" count="0" hidden="1"/>
    <cacheHierarchy uniqueName="[Measures].[__XL_Count Dim_Date4]" caption="__XL_Count Dim_Date4" measure="1" displayFolder="" measureGroup="Dim_Date4" count="0" hidden="1"/>
    <cacheHierarchy uniqueName="[Measures].[__No measures defined]" caption="__No measures defined" measure="1" displayFolder="" count="0" hidden="1"/>
  </cacheHierarchies>
  <kpis count="0"/>
  <dimensions count="6">
    <dimension name="Dim_Date4" uniqueName="[Dim_Date4]" caption="Dim_Date4"/>
    <dimension name="Dim_Loction3" uniqueName="[Dim_Loction3]" caption="Dim_Loction3"/>
    <dimension name="Dim_Product2" uniqueName="[Dim_Product2]" caption="Dim_Product2"/>
    <dimension name="Dim_retailer1" uniqueName="[Dim_retailer1]" caption="Dim_retailer1"/>
    <dimension name="Fact_Sales_Adidas" uniqueName="[Fact_Sales_Adidas]" caption="Fact_Sales_Adidas"/>
    <dimension measure="1" name="Measures" uniqueName="[Measures]" caption="Measures"/>
  </dimensions>
  <measureGroups count="5">
    <measureGroup name="Dim_Date4" caption="Dim_Date4"/>
    <measureGroup name="Dim_Loction3" caption="Dim_Loction3"/>
    <measureGroup name="Dim_Product2" caption="Dim_Product2"/>
    <measureGroup name="Dim_retailer1" caption="Dim_retailer1"/>
    <measureGroup name="Fact_Sales_Adidas" caption="Fact_Sales_Adid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08.984355671295" backgroundQuery="1" createdVersion="8" refreshedVersion="8" minRefreshableVersion="3" recordCount="0" supportSubquery="1" supportAdvancedDrill="1" xr:uid="{A7F916FB-FF51-4E06-868A-DD10A8834871}">
  <cacheSource type="external" connectionId="6"/>
  <cacheFields count="2">
    <cacheField name="[Dim_Product2].[Product].[Product]" caption="Product" numFmtId="0" hierarchy="10" level="1">
      <sharedItems count="6">
        <s v="Men's Apparel"/>
        <s v="Men's Athletic Footwear"/>
        <s v="Men's Street Footwear"/>
        <s v="Women's Apparel"/>
        <s v="Women's Athletic Footwear"/>
        <s v="Women's Street Footwear"/>
      </sharedItems>
    </cacheField>
    <cacheField name="[Measures].[TotalSales]" caption="TotalSales" numFmtId="0" hierarchy="28" level="32767"/>
  </cacheFields>
  <cacheHierarchies count="40">
    <cacheHierarchy uniqueName="[Dim_Date4].[Invoice Date]" caption="Invoice Date" attribute="1" time="1" defaultMemberUniqueName="[Dim_Date4].[Invoice Date].[All]" allUniqueName="[Dim_Date4].[Invoice Date].[All]" dimensionUniqueName="[Dim_Date4]" displayFolder="" count="0" memberValueDatatype="7" unbalanced="0"/>
    <cacheHierarchy uniqueName="[Dim_Date4].[Year]" caption="Year" attribute="1" defaultMemberUniqueName="[Dim_Date4].[Year].[All]" allUniqueName="[Dim_Date4].[Year].[All]" dimensionUniqueName="[Dim_Date4]" displayFolder="" count="0" memberValueDatatype="20" unbalanced="0"/>
    <cacheHierarchy uniqueName="[Dim_Date4].[Month]" caption="Month" attribute="1" defaultMemberUniqueName="[Dim_Date4].[Month].[All]" allUniqueName="[Dim_Date4].[Month].[All]" dimensionUniqueName="[Dim_Date4]" displayFolder="" count="0" memberValueDatatype="20" unbalanced="0"/>
    <cacheHierarchy uniqueName="[Dim_Date4].[Day]" caption="Day" attribute="1" defaultMemberUniqueName="[Dim_Date4].[Day].[All]" allUniqueName="[Dim_Date4].[Day].[All]" dimensionUniqueName="[Dim_Date4]" displayFolder="" count="0" memberValueDatatype="20" unbalanced="0"/>
    <cacheHierarchy uniqueName="[Dim_Date4].[Invoice Date (Year)]" caption="Invoice Date (Year)" attribute="1" defaultMemberUniqueName="[Dim_Date4].[Invoice Date (Year)].[All]" allUniqueName="[Dim_Date4].[Invoice Date (Year)].[All]" dimensionUniqueName="[Dim_Date4]" displayFolder="" count="0" memberValueDatatype="130" unbalanced="0"/>
    <cacheHierarchy uniqueName="[Dim_Date4].[Invoice Date (Quarter)]" caption="Invoice Date (Quarter)" attribute="1" defaultMemberUniqueName="[Dim_Date4].[Invoice Date (Quarter)].[All]" allUniqueName="[Dim_Date4].[Invoice Date (Quarter)].[All]" dimensionUniqueName="[Dim_Date4]" displayFolder="" count="0" memberValueDatatype="130" unbalanced="0"/>
    <cacheHierarchy uniqueName="[Dim_Date4].[Invoice Date (Month)]" caption="Invoice Date (Month)" attribute="1" defaultMemberUniqueName="[Dim_Date4].[Invoice Date (Month)].[All]" allUniqueName="[Dim_Date4].[Invoice Date (Month)].[All]" dimensionUniqueName="[Dim_Date4]" displayFolder="" count="0" memberValueDatatype="130" unbalanced="0"/>
    <cacheHierarchy uniqueName="[Dim_Loction3].[City]" caption="City" attribute="1" defaultMemberUniqueName="[Dim_Loction3].[City].[All]" allUniqueName="[Dim_Loction3].[City].[All]" dimensionUniqueName="[Dim_Loction3]" displayFolder="" count="0" memberValueDatatype="130" unbalanced="0"/>
    <cacheHierarchy uniqueName="[Dim_Loction3].[State]" caption="State" attribute="1" defaultMemberUniqueName="[Dim_Loction3].[State].[All]" allUniqueName="[Dim_Loction3].[State].[All]" dimensionUniqueName="[Dim_Loction3]" displayFolder="" count="0" memberValueDatatype="130" unbalanced="0"/>
    <cacheHierarchy uniqueName="[Dim_Loction3].[Region]" caption="Region" attribute="1" defaultMemberUniqueName="[Dim_Loction3].[Region].[All]" allUniqueName="[Dim_Loction3].[Region].[All]" dimensionUniqueName="[Dim_Loction3]" displayFolder="" count="0" memberValueDatatype="130" unbalanced="0"/>
    <cacheHierarchy uniqueName="[Dim_Product2].[Product]" caption="Product" attribute="1" defaultMemberUniqueName="[Dim_Product2].[Product].[All]" allUniqueName="[Dim_Product2].[Product].[All]" dimensionUniqueName="[Dim_Product2]" displayFolder="" count="2" memberValueDatatype="130" unbalanced="0">
      <fieldsUsage count="2">
        <fieldUsage x="-1"/>
        <fieldUsage x="0"/>
      </fieldsUsage>
    </cacheHierarchy>
    <cacheHierarchy uniqueName="[Dim_Product2].[Price per Unit]" caption="Price per Unit" attribute="1" defaultMemberUniqueName="[Dim_Product2].[Price per Unit].[All]" allUniqueName="[Dim_Product2].[Price per Unit].[All]" dimensionUniqueName="[Dim_Product2]" displayFolder="" count="0" memberValueDatatype="20" unbalanced="0"/>
    <cacheHierarchy uniqueName="[Dim_retailer1].[Retailer ID]" caption="Retailer ID" attribute="1" defaultMemberUniqueName="[Dim_retailer1].[Retailer ID].[All]" allUniqueName="[Dim_retailer1].[Retailer ID].[All]" dimensionUniqueName="[Dim_retailer1]" displayFolder="" count="0" memberValueDatatype="20" unbalanced="0"/>
    <cacheHierarchy uniqueName="[Dim_retailer1].[Retailer]" caption="Retailer" attribute="1" defaultMemberUniqueName="[Dim_retailer1].[Retailer].[All]" allUniqueName="[Dim_retailer1].[Retailer].[All]" dimensionUniqueName="[Dim_retailer1]" displayFolder="" count="0" memberValueDatatype="130" unbalanced="0"/>
    <cacheHierarchy uniqueName="[Fact_Sales_Adidas].[Retailer ID]" caption="Retailer ID" attribute="1" defaultMemberUniqueName="[Fact_Sales_Adidas].[Retailer ID].[All]" allUniqueName="[Fact_Sales_Adidas].[Retailer ID].[All]" dimensionUniqueName="[Fact_Sales_Adidas]" displayFolder="" count="0" memberValueDatatype="20" unbalanced="0"/>
    <cacheHierarchy uniqueName="[Fact_Sales_Adidas].[Invoice Date]" caption="Invoice Date" attribute="1" time="1" defaultMemberUniqueName="[Fact_Sales_Adidas].[Invoice Date].[All]" allUniqueName="[Fact_Sales_Adidas].[Invoice Date].[All]" dimensionUniqueName="[Fact_Sales_Adidas]" displayFolder="" count="0" memberValueDatatype="7" unbalanced="0"/>
    <cacheHierarchy uniqueName="[Fact_Sales_Adidas].[State]" caption="State" attribute="1" defaultMemberUniqueName="[Fact_Sales_Adidas].[State].[All]" allUniqueName="[Fact_Sales_Adidas].[State].[All]" dimensionUniqueName="[Fact_Sales_Adidas]" displayFolder="" count="0" memberValueDatatype="130" unbalanced="0"/>
    <cacheHierarchy uniqueName="[Fact_Sales_Adidas].[Product]" caption="Product" attribute="1" defaultMemberUniqueName="[Fact_Sales_Adidas].[Product].[All]" allUniqueName="[Fact_Sales_Adidas].[Product].[All]" dimensionUniqueName="[Fact_Sales_Adidas]" displayFolder="" count="0" memberValueDatatype="130" unbalanced="0"/>
    <cacheHierarchy uniqueName="[Fact_Sales_Adidas].[Units Sold]" caption="Units Sold" attribute="1" defaultMemberUniqueName="[Fact_Sales_Adidas].[Units Sold].[All]" allUniqueName="[Fact_Sales_Adidas].[Units Sold].[All]" dimensionUniqueName="[Fact_Sales_Adidas]" displayFolder="" count="0" memberValueDatatype="20" unbalanced="0"/>
    <cacheHierarchy uniqueName="[Fact_Sales_Adidas].[Total Sales]" caption="Total Sales" attribute="1" defaultMemberUniqueName="[Fact_Sales_Adidas].[Total Sales].[All]" allUniqueName="[Fact_Sales_Adidas].[Total Sales].[All]" dimensionUniqueName="[Fact_Sales_Adidas]" displayFolder="" count="0" memberValueDatatype="6" unbalanced="0"/>
    <cacheHierarchy uniqueName="[Fact_Sales_Adidas].[Operating Profit]" caption="Operating Profit" attribute="1" defaultMemberUniqueName="[Fact_Sales_Adidas].[Operating Profit].[All]" allUniqueName="[Fact_Sales_Adidas].[Operating Profit].[All]" dimensionUniqueName="[Fact_Sales_Adidas]" displayFolder="" count="0" memberValueDatatype="6" unbalanced="0"/>
    <cacheHierarchy uniqueName="[Fact_Sales_Adidas].[Operating Margin]" caption="Operating Margin" attribute="1" defaultMemberUniqueName="[Fact_Sales_Adidas].[Operating Margin].[All]" allUniqueName="[Fact_Sales_Adidas].[Operating Margin].[All]" dimensionUniqueName="[Fact_Sales_Adidas]" displayFolder="" count="0" memberValueDatatype="5" unbalanced="0"/>
    <cacheHierarchy uniqueName="[Fact_Sales_Adidas].[Sales Method]" caption="Sales Method" attribute="1" defaultMemberUniqueName="[Fact_Sales_Adidas].[Sales Method].[All]" allUniqueName="[Fact_Sales_Adidas].[Sales Method].[All]" dimensionUniqueName="[Fact_Sales_Adidas]" displayFolder="" count="0" memberValueDatatype="130" unbalanced="0"/>
    <cacheHierarchy uniqueName="[Fact_Sales_Adidas].[Revenue Per Unit]" caption="Revenue Per Unit" attribute="1" defaultMemberUniqueName="[Fact_Sales_Adidas].[Revenue Per Unit].[All]" allUniqueName="[Fact_Sales_Adidas].[Revenue Per Unit].[All]" dimensionUniqueName="[Fact_Sales_Adidas]" displayFolder="" count="0" memberValueDatatype="130" unbalanced="0"/>
    <cacheHierarchy uniqueName="[Fact_Sales_Adidas].[Profit Margin]" caption="Profit Margin" attribute="1" defaultMemberUniqueName="[Fact_Sales_Adidas].[Profit Margin].[All]" allUniqueName="[Fact_Sales_Adidas].[Profit Margin].[All]" dimensionUniqueName="[Fact_Sales_Adidas]" displayFolder="" count="0" memberValueDatatype="5" unbalanced="0"/>
    <cacheHierarchy uniqueName="[Fact_Sales_Adidas].[Profit per Unit]" caption="Profit per Unit" attribute="1" defaultMemberUniqueName="[Fact_Sales_Adidas].[Profit per Unit].[All]" allUniqueName="[Fact_Sales_Adidas].[Profit per Unit].[All]" dimensionUniqueName="[Fact_Sales_Adidas]" displayFolder="" count="0" memberValueDatatype="130" unbalanced="0"/>
    <cacheHierarchy uniqueName="[Dim_Date4].[Invoice Date (Month Index)]" caption="Invoice Date (Month Index)" attribute="1" defaultMemberUniqueName="[Dim_Date4].[Invoice Date (Month Index)].[All]" allUniqueName="[Dim_Date4].[Invoice Date (Month Index)].[All]" dimensionUniqueName="[Dim_Date4]" displayFolder="" count="0" memberValueDatatype="20" unbalanced="0" hidden="1"/>
    <cacheHierarchy uniqueName="[Measures].[Sum of Total Sales]" caption="Sum of Total Sales" measure="1" displayFolder="" measureGroup="Fact_Sales_Adida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Sales]" caption="TotalSales" measure="1" displayFolder="" measureGroup="Fact_Sales_Adidas" count="0" oneField="1">
      <fieldsUsage count="1">
        <fieldUsage x="1"/>
      </fieldsUsage>
    </cacheHierarchy>
    <cacheHierarchy uniqueName="[Measures].[Total Profit]" caption="Total Profit" measure="1" displayFolder="" measureGroup="Fact_Sales_Adidas" count="0"/>
    <cacheHierarchy uniqueName="[Measures].[ProfitMargin]" caption="ProfitMargin" measure="1" displayFolder="" measureGroup="Fact_Sales_Adidas" count="0"/>
    <cacheHierarchy uniqueName="[Measures].[Total Unit]" caption="Total Unit" measure="1" displayFolder="" measureGroup="Fact_Sales_Adidas" count="0"/>
    <cacheHierarchy uniqueName="[Measures].[avg price per unit]" caption="avg price per unit" measure="1" displayFolder="" measureGroup="Fact_Sales_Adidas" count="0"/>
    <cacheHierarchy uniqueName="[Measures].[Sales PY]" caption="Sales PY" measure="1" displayFolder="" measureGroup="Fact_Sales_Adidas" count="0"/>
    <cacheHierarchy uniqueName="[Measures].[__XL_Count Fact_Sales_Adidas]" caption="__XL_Count Fact_Sales_Adidas" measure="1" displayFolder="" measureGroup="Fact_Sales_Adidas" count="0" hidden="1"/>
    <cacheHierarchy uniqueName="[Measures].[__XL_Count Dim_retailer1]" caption="__XL_Count Dim_retailer1" measure="1" displayFolder="" measureGroup="Dim_retailer1" count="0" hidden="1"/>
    <cacheHierarchy uniqueName="[Measures].[__XL_Count Dim_Loction3]" caption="__XL_Count Dim_Loction3" measure="1" displayFolder="" measureGroup="Dim_Loction3" count="0" hidden="1"/>
    <cacheHierarchy uniqueName="[Measures].[__XL_Count Dim_Product2]" caption="__XL_Count Dim_Product2" measure="1" displayFolder="" measureGroup="Dim_Product2" count="0" hidden="1"/>
    <cacheHierarchy uniqueName="[Measures].[__XL_Count Dim_Date4]" caption="__XL_Count Dim_Date4" measure="1" displayFolder="" measureGroup="Dim_Date4" count="0" hidden="1"/>
    <cacheHierarchy uniqueName="[Measures].[__No measures defined]" caption="__No measures defined" measure="1" displayFolder="" count="0" hidden="1"/>
  </cacheHierarchies>
  <kpis count="0"/>
  <dimensions count="6">
    <dimension name="Dim_Date4" uniqueName="[Dim_Date4]" caption="Dim_Date4"/>
    <dimension name="Dim_Loction3" uniqueName="[Dim_Loction3]" caption="Dim_Loction3"/>
    <dimension name="Dim_Product2" uniqueName="[Dim_Product2]" caption="Dim_Product2"/>
    <dimension name="Dim_retailer1" uniqueName="[Dim_retailer1]" caption="Dim_retailer1"/>
    <dimension name="Fact_Sales_Adidas" uniqueName="[Fact_Sales_Adidas]" caption="Fact_Sales_Adidas"/>
    <dimension measure="1" name="Measures" uniqueName="[Measures]" caption="Measures"/>
  </dimensions>
  <measureGroups count="5">
    <measureGroup name="Dim_Date4" caption="Dim_Date4"/>
    <measureGroup name="Dim_Loction3" caption="Dim_Loction3"/>
    <measureGroup name="Dim_Product2" caption="Dim_Product2"/>
    <measureGroup name="Dim_retailer1" caption="Dim_retailer1"/>
    <measureGroup name="Fact_Sales_Adidas" caption="Fact_Sales_Adid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08.984357407404" backgroundQuery="1" createdVersion="8" refreshedVersion="8" minRefreshableVersion="3" recordCount="0" supportSubquery="1" supportAdvancedDrill="1" xr:uid="{A74AF8AA-C25E-4A3E-B44B-32CC94EF68A6}">
  <cacheSource type="external" connectionId="6"/>
  <cacheFields count="2">
    <cacheField name="[Dim_Loction3].[State].[State]" caption="State" numFmtId="0" hierarchy="8" level="1">
      <sharedItems containsBlank="1" count="10">
        <s v="California"/>
        <s v="Florida"/>
        <s v="Hawaii"/>
        <s v="Louisiana"/>
        <s v="New York"/>
        <s v="North Carolina"/>
        <s v="South Carolina"/>
        <s v="Texas"/>
        <s v="Washington"/>
        <m/>
      </sharedItems>
    </cacheField>
    <cacheField name="[Measures].[TotalSales]" caption="TotalSales" numFmtId="0" hierarchy="28" level="32767"/>
  </cacheFields>
  <cacheHierarchies count="40">
    <cacheHierarchy uniqueName="[Dim_Date4].[Invoice Date]" caption="Invoice Date" attribute="1" time="1" defaultMemberUniqueName="[Dim_Date4].[Invoice Date].[All]" allUniqueName="[Dim_Date4].[Invoice Date].[All]" dimensionUniqueName="[Dim_Date4]" displayFolder="" count="0" memberValueDatatype="7" unbalanced="0"/>
    <cacheHierarchy uniqueName="[Dim_Date4].[Year]" caption="Year" attribute="1" defaultMemberUniqueName="[Dim_Date4].[Year].[All]" allUniqueName="[Dim_Date4].[Year].[All]" dimensionUniqueName="[Dim_Date4]" displayFolder="" count="0" memberValueDatatype="20" unbalanced="0"/>
    <cacheHierarchy uniqueName="[Dim_Date4].[Month]" caption="Month" attribute="1" defaultMemberUniqueName="[Dim_Date4].[Month].[All]" allUniqueName="[Dim_Date4].[Month].[All]" dimensionUniqueName="[Dim_Date4]" displayFolder="" count="0" memberValueDatatype="20" unbalanced="0"/>
    <cacheHierarchy uniqueName="[Dim_Date4].[Day]" caption="Day" attribute="1" defaultMemberUniqueName="[Dim_Date4].[Day].[All]" allUniqueName="[Dim_Date4].[Day].[All]" dimensionUniqueName="[Dim_Date4]" displayFolder="" count="0" memberValueDatatype="20" unbalanced="0"/>
    <cacheHierarchy uniqueName="[Dim_Date4].[Invoice Date (Year)]" caption="Invoice Date (Year)" attribute="1" defaultMemberUniqueName="[Dim_Date4].[Invoice Date (Year)].[All]" allUniqueName="[Dim_Date4].[Invoice Date (Year)].[All]" dimensionUniqueName="[Dim_Date4]" displayFolder="" count="0" memberValueDatatype="130" unbalanced="0"/>
    <cacheHierarchy uniqueName="[Dim_Date4].[Invoice Date (Quarter)]" caption="Invoice Date (Quarter)" attribute="1" defaultMemberUniqueName="[Dim_Date4].[Invoice Date (Quarter)].[All]" allUniqueName="[Dim_Date4].[Invoice Date (Quarter)].[All]" dimensionUniqueName="[Dim_Date4]" displayFolder="" count="0" memberValueDatatype="130" unbalanced="0"/>
    <cacheHierarchy uniqueName="[Dim_Date4].[Invoice Date (Month)]" caption="Invoice Date (Month)" attribute="1" defaultMemberUniqueName="[Dim_Date4].[Invoice Date (Month)].[All]" allUniqueName="[Dim_Date4].[Invoice Date (Month)].[All]" dimensionUniqueName="[Dim_Date4]" displayFolder="" count="0" memberValueDatatype="130" unbalanced="0"/>
    <cacheHierarchy uniqueName="[Dim_Loction3].[City]" caption="City" attribute="1" defaultMemberUniqueName="[Dim_Loction3].[City].[All]" allUniqueName="[Dim_Loction3].[City].[All]" dimensionUniqueName="[Dim_Loction3]" displayFolder="" count="0" memberValueDatatype="130" unbalanced="0"/>
    <cacheHierarchy uniqueName="[Dim_Loction3].[State]" caption="State" attribute="1" defaultMemberUniqueName="[Dim_Loction3].[State].[All]" allUniqueName="[Dim_Loction3].[State].[All]" dimensionUniqueName="[Dim_Loction3]" displayFolder="" count="2" memberValueDatatype="130" unbalanced="0">
      <fieldsUsage count="2">
        <fieldUsage x="-1"/>
        <fieldUsage x="0"/>
      </fieldsUsage>
    </cacheHierarchy>
    <cacheHierarchy uniqueName="[Dim_Loction3].[Region]" caption="Region" attribute="1" defaultMemberUniqueName="[Dim_Loction3].[Region].[All]" allUniqueName="[Dim_Loction3].[Region].[All]" dimensionUniqueName="[Dim_Loction3]" displayFolder="" count="0" memberValueDatatype="130" unbalanced="0"/>
    <cacheHierarchy uniqueName="[Dim_Product2].[Product]" caption="Product" attribute="1" defaultMemberUniqueName="[Dim_Product2].[Product].[All]" allUniqueName="[Dim_Product2].[Product].[All]" dimensionUniqueName="[Dim_Product2]" displayFolder="" count="0" memberValueDatatype="130" unbalanced="0"/>
    <cacheHierarchy uniqueName="[Dim_Product2].[Price per Unit]" caption="Price per Unit" attribute="1" defaultMemberUniqueName="[Dim_Product2].[Price per Unit].[All]" allUniqueName="[Dim_Product2].[Price per Unit].[All]" dimensionUniqueName="[Dim_Product2]" displayFolder="" count="0" memberValueDatatype="20" unbalanced="0"/>
    <cacheHierarchy uniqueName="[Dim_retailer1].[Retailer ID]" caption="Retailer ID" attribute="1" defaultMemberUniqueName="[Dim_retailer1].[Retailer ID].[All]" allUniqueName="[Dim_retailer1].[Retailer ID].[All]" dimensionUniqueName="[Dim_retailer1]" displayFolder="" count="0" memberValueDatatype="20" unbalanced="0"/>
    <cacheHierarchy uniqueName="[Dim_retailer1].[Retailer]" caption="Retailer" attribute="1" defaultMemberUniqueName="[Dim_retailer1].[Retailer].[All]" allUniqueName="[Dim_retailer1].[Retailer].[All]" dimensionUniqueName="[Dim_retailer1]" displayFolder="" count="0" memberValueDatatype="130" unbalanced="0"/>
    <cacheHierarchy uniqueName="[Fact_Sales_Adidas].[Retailer ID]" caption="Retailer ID" attribute="1" defaultMemberUniqueName="[Fact_Sales_Adidas].[Retailer ID].[All]" allUniqueName="[Fact_Sales_Adidas].[Retailer ID].[All]" dimensionUniqueName="[Fact_Sales_Adidas]" displayFolder="" count="0" memberValueDatatype="20" unbalanced="0"/>
    <cacheHierarchy uniqueName="[Fact_Sales_Adidas].[Invoice Date]" caption="Invoice Date" attribute="1" time="1" defaultMemberUniqueName="[Fact_Sales_Adidas].[Invoice Date].[All]" allUniqueName="[Fact_Sales_Adidas].[Invoice Date].[All]" dimensionUniqueName="[Fact_Sales_Adidas]" displayFolder="" count="0" memberValueDatatype="7" unbalanced="0"/>
    <cacheHierarchy uniqueName="[Fact_Sales_Adidas].[State]" caption="State" attribute="1" defaultMemberUniqueName="[Fact_Sales_Adidas].[State].[All]" allUniqueName="[Fact_Sales_Adidas].[State].[All]" dimensionUniqueName="[Fact_Sales_Adidas]" displayFolder="" count="0" memberValueDatatype="130" unbalanced="0"/>
    <cacheHierarchy uniqueName="[Fact_Sales_Adidas].[Product]" caption="Product" attribute="1" defaultMemberUniqueName="[Fact_Sales_Adidas].[Product].[All]" allUniqueName="[Fact_Sales_Adidas].[Product].[All]" dimensionUniqueName="[Fact_Sales_Adidas]" displayFolder="" count="0" memberValueDatatype="130" unbalanced="0"/>
    <cacheHierarchy uniqueName="[Fact_Sales_Adidas].[Units Sold]" caption="Units Sold" attribute="1" defaultMemberUniqueName="[Fact_Sales_Adidas].[Units Sold].[All]" allUniqueName="[Fact_Sales_Adidas].[Units Sold].[All]" dimensionUniqueName="[Fact_Sales_Adidas]" displayFolder="" count="0" memberValueDatatype="20" unbalanced="0"/>
    <cacheHierarchy uniqueName="[Fact_Sales_Adidas].[Total Sales]" caption="Total Sales" attribute="1" defaultMemberUniqueName="[Fact_Sales_Adidas].[Total Sales].[All]" allUniqueName="[Fact_Sales_Adidas].[Total Sales].[All]" dimensionUniqueName="[Fact_Sales_Adidas]" displayFolder="" count="0" memberValueDatatype="6" unbalanced="0"/>
    <cacheHierarchy uniqueName="[Fact_Sales_Adidas].[Operating Profit]" caption="Operating Profit" attribute="1" defaultMemberUniqueName="[Fact_Sales_Adidas].[Operating Profit].[All]" allUniqueName="[Fact_Sales_Adidas].[Operating Profit].[All]" dimensionUniqueName="[Fact_Sales_Adidas]" displayFolder="" count="0" memberValueDatatype="6" unbalanced="0"/>
    <cacheHierarchy uniqueName="[Fact_Sales_Adidas].[Operating Margin]" caption="Operating Margin" attribute="1" defaultMemberUniqueName="[Fact_Sales_Adidas].[Operating Margin].[All]" allUniqueName="[Fact_Sales_Adidas].[Operating Margin].[All]" dimensionUniqueName="[Fact_Sales_Adidas]" displayFolder="" count="0" memberValueDatatype="5" unbalanced="0"/>
    <cacheHierarchy uniqueName="[Fact_Sales_Adidas].[Sales Method]" caption="Sales Method" attribute="1" defaultMemberUniqueName="[Fact_Sales_Adidas].[Sales Method].[All]" allUniqueName="[Fact_Sales_Adidas].[Sales Method].[All]" dimensionUniqueName="[Fact_Sales_Adidas]" displayFolder="" count="0" memberValueDatatype="130" unbalanced="0"/>
    <cacheHierarchy uniqueName="[Fact_Sales_Adidas].[Revenue Per Unit]" caption="Revenue Per Unit" attribute="1" defaultMemberUniqueName="[Fact_Sales_Adidas].[Revenue Per Unit].[All]" allUniqueName="[Fact_Sales_Adidas].[Revenue Per Unit].[All]" dimensionUniqueName="[Fact_Sales_Adidas]" displayFolder="" count="0" memberValueDatatype="130" unbalanced="0"/>
    <cacheHierarchy uniqueName="[Fact_Sales_Adidas].[Profit Margin]" caption="Profit Margin" attribute="1" defaultMemberUniqueName="[Fact_Sales_Adidas].[Profit Margin].[All]" allUniqueName="[Fact_Sales_Adidas].[Profit Margin].[All]" dimensionUniqueName="[Fact_Sales_Adidas]" displayFolder="" count="0" memberValueDatatype="5" unbalanced="0"/>
    <cacheHierarchy uniqueName="[Fact_Sales_Adidas].[Profit per Unit]" caption="Profit per Unit" attribute="1" defaultMemberUniqueName="[Fact_Sales_Adidas].[Profit per Unit].[All]" allUniqueName="[Fact_Sales_Adidas].[Profit per Unit].[All]" dimensionUniqueName="[Fact_Sales_Adidas]" displayFolder="" count="0" memberValueDatatype="130" unbalanced="0"/>
    <cacheHierarchy uniqueName="[Dim_Date4].[Invoice Date (Month Index)]" caption="Invoice Date (Month Index)" attribute="1" defaultMemberUniqueName="[Dim_Date4].[Invoice Date (Month Index)].[All]" allUniqueName="[Dim_Date4].[Invoice Date (Month Index)].[All]" dimensionUniqueName="[Dim_Date4]" displayFolder="" count="0" memberValueDatatype="20" unbalanced="0" hidden="1"/>
    <cacheHierarchy uniqueName="[Measures].[Sum of Total Sales]" caption="Sum of Total Sales" measure="1" displayFolder="" measureGroup="Fact_Sales_Adida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TotalSales]" caption="TotalSales" measure="1" displayFolder="" measureGroup="Fact_Sales_Adidas" count="0" oneField="1">
      <fieldsUsage count="1">
        <fieldUsage x="1"/>
      </fieldsUsage>
    </cacheHierarchy>
    <cacheHierarchy uniqueName="[Measures].[Total Profit]" caption="Total Profit" measure="1" displayFolder="" measureGroup="Fact_Sales_Adidas" count="0"/>
    <cacheHierarchy uniqueName="[Measures].[ProfitMargin]" caption="ProfitMargin" measure="1" displayFolder="" measureGroup="Fact_Sales_Adidas" count="0"/>
    <cacheHierarchy uniqueName="[Measures].[Total Unit]" caption="Total Unit" measure="1" displayFolder="" measureGroup="Fact_Sales_Adidas" count="0"/>
    <cacheHierarchy uniqueName="[Measures].[avg price per unit]" caption="avg price per unit" measure="1" displayFolder="" measureGroup="Fact_Sales_Adidas" count="0"/>
    <cacheHierarchy uniqueName="[Measures].[Sales PY]" caption="Sales PY" measure="1" displayFolder="" measureGroup="Fact_Sales_Adidas" count="0"/>
    <cacheHierarchy uniqueName="[Measures].[__XL_Count Fact_Sales_Adidas]" caption="__XL_Count Fact_Sales_Adidas" measure="1" displayFolder="" measureGroup="Fact_Sales_Adidas" count="0" hidden="1"/>
    <cacheHierarchy uniqueName="[Measures].[__XL_Count Dim_retailer1]" caption="__XL_Count Dim_retailer1" measure="1" displayFolder="" measureGroup="Dim_retailer1" count="0" hidden="1"/>
    <cacheHierarchy uniqueName="[Measures].[__XL_Count Dim_Loction3]" caption="__XL_Count Dim_Loction3" measure="1" displayFolder="" measureGroup="Dim_Loction3" count="0" hidden="1"/>
    <cacheHierarchy uniqueName="[Measures].[__XL_Count Dim_Product2]" caption="__XL_Count Dim_Product2" measure="1" displayFolder="" measureGroup="Dim_Product2" count="0" hidden="1"/>
    <cacheHierarchy uniqueName="[Measures].[__XL_Count Dim_Date4]" caption="__XL_Count Dim_Date4" measure="1" displayFolder="" measureGroup="Dim_Date4" count="0" hidden="1"/>
    <cacheHierarchy uniqueName="[Measures].[__No measures defined]" caption="__No measures defined" measure="1" displayFolder="" count="0" hidden="1"/>
  </cacheHierarchies>
  <kpis count="0"/>
  <dimensions count="6">
    <dimension name="Dim_Date4" uniqueName="[Dim_Date4]" caption="Dim_Date4"/>
    <dimension name="Dim_Loction3" uniqueName="[Dim_Loction3]" caption="Dim_Loction3"/>
    <dimension name="Dim_Product2" uniqueName="[Dim_Product2]" caption="Dim_Product2"/>
    <dimension name="Dim_retailer1" uniqueName="[Dim_retailer1]" caption="Dim_retailer1"/>
    <dimension name="Fact_Sales_Adidas" uniqueName="[Fact_Sales_Adidas]" caption="Fact_Sales_Adidas"/>
    <dimension measure="1" name="Measures" uniqueName="[Measures]" caption="Measures"/>
  </dimensions>
  <measureGroups count="5">
    <measureGroup name="Dim_Date4" caption="Dim_Date4"/>
    <measureGroup name="Dim_Loction3" caption="Dim_Loction3"/>
    <measureGroup name="Dim_Product2" caption="Dim_Product2"/>
    <measureGroup name="Dim_retailer1" caption="Dim_retailer1"/>
    <measureGroup name="Fact_Sales_Adidas" caption="Fact_Sales_Adid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319C8-BB38-449E-A61D-72DE91869354}" name="Sales &amp; Profit Trend" cacheId="37" applyNumberFormats="0" applyBorderFormats="0" applyFontFormats="0" applyPatternFormats="0" applyAlignmentFormats="0" applyWidthHeightFormats="1" dataCaption="Values" tag="f61e1c10-9158-453a-8692-2b6d4ce99b25" updatedVersion="8" minRefreshableVersion="3" useAutoFormatting="1" itemPrintTitles="1" createdVersion="8" indent="0" outline="1" outlineData="1" multipleFieldFilters="0" chartFormat="39">
  <location ref="D1:F4" firstHeaderRow="0" firstDataRow="1" firstDataCol="1"/>
  <pivotFields count="6">
    <pivotField axis="axisRow" allDrilled="1" subtotalTop="0" showAll="0" dataSourceSort="1" defaultSubtotal="0" defaultAttributeDrillState="1">
      <items count="7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2">
        <item x="0" e="0"/>
        <item x="1" e="0"/>
      </items>
    </pivotField>
    <pivotField dataField="1" subtotalTop="0" showAll="0" defaultSubtotal="0"/>
    <pivotField dataField="1" subtotalTop="0" showAll="0" defaultSubtotal="0"/>
  </pivotFields>
  <rowFields count="4">
    <field x="3"/>
    <field x="2"/>
    <field x="1"/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4" subtotal="count" baseField="0" baseItem="0"/>
    <dataField fld="5" subtotal="count" baseField="0" baseItem="0"/>
  </dataFields>
  <chartFormats count="4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4"/>
    <rowHierarchyUsage hierarchyUsage="5"/>
    <rowHierarchyUsage hierarchyUsage="6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4]"/>
        <x15:activeTabTopLevelEntity name="[Fact_Sales_Adi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F12F9-FA26-48FE-B488-CE002A27E41B}" name="Total Profit" cacheId="28" applyNumberFormats="0" applyBorderFormats="0" applyFontFormats="0" applyPatternFormats="0" applyAlignmentFormats="0" applyWidthHeightFormats="1" dataCaption="Values" tag="9e2a95e1-ed2f-4237-8d0c-7e9e06c15f06" updatedVersion="8" minRefreshableVersion="3" useAutoFormatting="1" itemPrintTitles="1" createdVersion="8" indent="0" outline="1" outlineData="1" multipleFieldFilters="0">
  <location ref="A4:A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_Adi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CD833-D82D-4A46-A7DF-B84CB4A654C1}" name="Top Products " cacheId="40" applyNumberFormats="0" applyBorderFormats="0" applyFontFormats="0" applyPatternFormats="0" applyAlignmentFormats="0" applyWidthHeightFormats="1" dataCaption="Values" tag="7394030c-b54c-4aac-b9a0-29e3aae69f06" updatedVersion="8" minRefreshableVersion="3" useAutoFormatting="1" itemPrintTitles="1" createdVersion="8" indent="0" outline="1" outlineData="1" multipleFieldFilters="0" chartFormat="37">
  <location ref="D7:E14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chartFormats count="2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2]"/>
        <x15:activeTabTopLevelEntity name="[Fact_Sales_Adi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36084-C191-4CDC-894A-520738D600D9}" name="PivotTable4" cacheId="34" applyNumberFormats="0" applyBorderFormats="0" applyFontFormats="0" applyPatternFormats="0" applyAlignmentFormats="0" applyWidthHeightFormats="1" dataCaption="Values" tag="8ec52b56-6b10-4aef-8ce2-e74d5ab19bd4" updatedVersion="8" minRefreshableVersion="3" useAutoFormatting="1" itemPrintTitles="1" createdVersion="8" indent="0" outline="1" outlineData="1" multipleFieldFilters="0">
  <location ref="A10:A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_Adi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DC5EC-D411-4B5C-A50E-E5149B6F864A}" name="PivotTable1" cacheId="25" applyNumberFormats="0" applyBorderFormats="0" applyFontFormats="0" applyPatternFormats="0" applyAlignmentFormats="0" applyWidthHeightFormats="1" dataCaption="Values" tag="c5543b86-6059-4eb5-bdb9-51f27f70850d" updatedVersion="8" minRefreshableVersion="3" useAutoFormatting="1" itemPrintTitles="1" createdVersion="8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_Adi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9E11B-6B0D-484A-88CE-7842BDFE67F3}" name="PivotTable3" cacheId="31" applyNumberFormats="0" applyBorderFormats="0" applyFontFormats="0" applyPatternFormats="0" applyAlignmentFormats="0" applyWidthHeightFormats="1" dataCaption="Values" tag="3db89dcc-183c-4977-9c66-fdec3e405af4" updatedVersion="8" minRefreshableVersion="3" useAutoFormatting="1" itemPrintTitles="1" createdVersion="8" indent="0" outline="1" outlineData="1" multipleFieldFilters="0">
  <location ref="A7:A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_Adi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82A6B-31E4-454A-81B7-5AC8987A71BC}" name="Sales by Sales Method " cacheId="22" applyNumberFormats="0" applyBorderFormats="0" applyFontFormats="0" applyPatternFormats="0" applyAlignmentFormats="0" applyWidthHeightFormats="1" dataCaption="Values" tag="09a1762f-6237-4264-b7bb-24d7d9c2cc32" updatedVersion="8" minRefreshableVersion="3" useAutoFormatting="1" itemPrintTitles="1" createdVersion="8" indent="0" outline="1" outlineData="1" multipleFieldFilters="0" chartFormat="19">
  <location ref="D29:E3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0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2]"/>
        <x15:activeTabTopLevelEntity name="[Fact_Sales_Adi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21575-C435-4755-AA09-907F5F640D17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:P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_Adi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8FEC0-E7B3-40B2-8EA4-355A4866DF0F}" name="Top Region by Sales" cacheId="43" applyNumberFormats="0" applyBorderFormats="0" applyFontFormats="0" applyPatternFormats="0" applyAlignmentFormats="0" applyWidthHeightFormats="1" dataCaption="Values" tag="a81b5613-9390-4699-8b6a-aa05cba706f7" updatedVersion="8" minRefreshableVersion="3" useAutoFormatting="1" itemPrintTitles="1" createdVersion="8" indent="0" outline="1" outlineData="1" multipleFieldFilters="0" chartFormat="29">
  <location ref="D16:E27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1" subtotal="count" baseField="0" baseItem="0"/>
  </dataFields>
  <chartFormats count="2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6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6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6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6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6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6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6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6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6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8">
      <autoFilter ref="A1">
        <filterColumn colId="0">
          <top10 val="10" filterVal="10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Loction3]"/>
        <x15:activeTabTopLevelEntity name="[Fact_Sales_Adi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4B27-0E0B-4FB7-91FA-A8746E2E76A4}">
  <sheetPr>
    <tabColor theme="4"/>
  </sheetPr>
  <dimension ref="A1:P33"/>
  <sheetViews>
    <sheetView workbookViewId="0">
      <selection activeCell="P8" sqref="P8"/>
    </sheetView>
  </sheetViews>
  <sheetFormatPr defaultRowHeight="14.4" x14ac:dyDescent="0.3"/>
  <cols>
    <col min="1" max="1" width="8.88671875" bestFit="1" customWidth="1"/>
    <col min="2" max="2" width="7.77734375" customWidth="1"/>
    <col min="4" max="4" width="12.6640625" bestFit="1" customWidth="1"/>
    <col min="5" max="5" width="10" bestFit="1" customWidth="1"/>
    <col min="6" max="6" width="12" bestFit="1" customWidth="1"/>
    <col min="16" max="17" width="10" bestFit="1" customWidth="1"/>
  </cols>
  <sheetData>
    <row r="1" spans="1:16" x14ac:dyDescent="0.3">
      <c r="A1" t="s">
        <v>0</v>
      </c>
      <c r="D1" s="1" t="s">
        <v>4</v>
      </c>
      <c r="E1" t="s">
        <v>0</v>
      </c>
      <c r="F1" t="s">
        <v>1</v>
      </c>
    </row>
    <row r="2" spans="1:16" x14ac:dyDescent="0.3">
      <c r="A2" s="6">
        <v>885088633</v>
      </c>
      <c r="D2" s="2" t="s">
        <v>6</v>
      </c>
      <c r="E2" s="6">
        <v>176353706</v>
      </c>
      <c r="F2" s="6">
        <v>61117713.159999996</v>
      </c>
      <c r="P2" t="s">
        <v>0</v>
      </c>
    </row>
    <row r="3" spans="1:16" x14ac:dyDescent="0.3">
      <c r="B3">
        <f>GETPIVOTDATA("[Measures].[TotalSales]",$A$1)</f>
        <v>885088633</v>
      </c>
      <c r="D3" s="2" t="s">
        <v>7</v>
      </c>
      <c r="E3" s="6">
        <v>708734927</v>
      </c>
      <c r="F3" s="6">
        <v>264425516.49000001</v>
      </c>
      <c r="P3" s="6">
        <v>885088633</v>
      </c>
    </row>
    <row r="4" spans="1:16" x14ac:dyDescent="0.3">
      <c r="A4" t="s">
        <v>1</v>
      </c>
      <c r="D4" s="2" t="s">
        <v>5</v>
      </c>
      <c r="E4" s="6">
        <v>885088633</v>
      </c>
      <c r="F4" s="6">
        <v>325543229.64999998</v>
      </c>
    </row>
    <row r="5" spans="1:16" x14ac:dyDescent="0.3">
      <c r="A5" s="6">
        <v>325543229.64999998</v>
      </c>
      <c r="B5">
        <f>GETPIVOTDATA("[Measures].[Total Profit]",$A$4)</f>
        <v>325543229.64999998</v>
      </c>
    </row>
    <row r="7" spans="1:16" x14ac:dyDescent="0.3">
      <c r="A7" t="s">
        <v>2</v>
      </c>
      <c r="D7" s="1" t="s">
        <v>4</v>
      </c>
      <c r="E7" t="s">
        <v>0</v>
      </c>
    </row>
    <row r="8" spans="1:16" x14ac:dyDescent="0.3">
      <c r="A8" s="6">
        <v>0.3678086210943351</v>
      </c>
      <c r="B8" s="5">
        <f>GETPIVOTDATA("[Measures].[ProfitMargin]",$A$7)</f>
        <v>0.3678086210943351</v>
      </c>
      <c r="D8" s="2" t="s">
        <v>8</v>
      </c>
      <c r="E8" s="6">
        <v>121769511</v>
      </c>
    </row>
    <row r="9" spans="1:16" x14ac:dyDescent="0.3">
      <c r="D9" s="2" t="s">
        <v>9</v>
      </c>
      <c r="E9" s="6">
        <v>150705588</v>
      </c>
    </row>
    <row r="10" spans="1:16" x14ac:dyDescent="0.3">
      <c r="A10" t="s">
        <v>3</v>
      </c>
      <c r="D10" s="2" t="s">
        <v>10</v>
      </c>
      <c r="E10" s="6">
        <v>205292112</v>
      </c>
    </row>
    <row r="11" spans="1:16" x14ac:dyDescent="0.3">
      <c r="A11" s="6">
        <v>2210365</v>
      </c>
      <c r="B11">
        <f>GETPIVOTDATA("[Measures].[Total Unit]",$A$10)</f>
        <v>2210365</v>
      </c>
      <c r="D11" s="2" t="s">
        <v>11</v>
      </c>
      <c r="E11" s="6">
        <v>176343839</v>
      </c>
    </row>
    <row r="12" spans="1:16" x14ac:dyDescent="0.3">
      <c r="D12" s="2" t="s">
        <v>12</v>
      </c>
      <c r="E12" s="6">
        <v>104935462</v>
      </c>
    </row>
    <row r="13" spans="1:16" x14ac:dyDescent="0.3">
      <c r="D13" s="2" t="s">
        <v>13</v>
      </c>
      <c r="E13" s="6">
        <v>126042121</v>
      </c>
    </row>
    <row r="14" spans="1:16" x14ac:dyDescent="0.3">
      <c r="D14" s="2" t="s">
        <v>5</v>
      </c>
      <c r="E14" s="6">
        <v>885088633</v>
      </c>
    </row>
    <row r="16" spans="1:16" x14ac:dyDescent="0.3">
      <c r="D16" s="1" t="s">
        <v>4</v>
      </c>
      <c r="E16" t="s">
        <v>0</v>
      </c>
    </row>
    <row r="17" spans="4:5" x14ac:dyDescent="0.3">
      <c r="D17" s="2" t="s">
        <v>14</v>
      </c>
      <c r="E17" s="6">
        <v>58814995</v>
      </c>
    </row>
    <row r="18" spans="4:5" x14ac:dyDescent="0.3">
      <c r="D18" s="2" t="s">
        <v>15</v>
      </c>
      <c r="E18" s="6">
        <v>55251067</v>
      </c>
    </row>
    <row r="19" spans="4:5" x14ac:dyDescent="0.3">
      <c r="D19" s="2" t="s">
        <v>16</v>
      </c>
      <c r="E19" s="6">
        <v>22282457</v>
      </c>
    </row>
    <row r="20" spans="4:5" x14ac:dyDescent="0.3">
      <c r="D20" s="2" t="s">
        <v>17</v>
      </c>
      <c r="E20" s="6">
        <v>23246322</v>
      </c>
    </row>
    <row r="21" spans="4:5" x14ac:dyDescent="0.3">
      <c r="D21" s="2" t="s">
        <v>18</v>
      </c>
      <c r="E21" s="6">
        <v>63405319</v>
      </c>
    </row>
    <row r="22" spans="4:5" x14ac:dyDescent="0.3">
      <c r="D22" s="2" t="s">
        <v>19</v>
      </c>
      <c r="E22" s="6">
        <v>23355500</v>
      </c>
    </row>
    <row r="23" spans="4:5" x14ac:dyDescent="0.3">
      <c r="D23" s="2" t="s">
        <v>20</v>
      </c>
      <c r="E23" s="6">
        <v>28547250</v>
      </c>
    </row>
    <row r="24" spans="4:5" x14ac:dyDescent="0.3">
      <c r="D24" s="2" t="s">
        <v>21</v>
      </c>
      <c r="E24" s="6">
        <v>45307229</v>
      </c>
    </row>
    <row r="25" spans="4:5" x14ac:dyDescent="0.3">
      <c r="D25" s="2" t="s">
        <v>22</v>
      </c>
      <c r="E25" s="6">
        <v>26330718</v>
      </c>
    </row>
    <row r="26" spans="4:5" x14ac:dyDescent="0.3">
      <c r="D26" s="2" t="s">
        <v>23</v>
      </c>
      <c r="E26" s="6">
        <v>32038834</v>
      </c>
    </row>
    <row r="27" spans="4:5" x14ac:dyDescent="0.3">
      <c r="D27" s="2" t="s">
        <v>5</v>
      </c>
      <c r="E27" s="6">
        <v>378579691</v>
      </c>
    </row>
    <row r="29" spans="4:5" x14ac:dyDescent="0.3">
      <c r="D29" s="1" t="s">
        <v>4</v>
      </c>
      <c r="E29" t="s">
        <v>24</v>
      </c>
    </row>
    <row r="30" spans="4:5" x14ac:dyDescent="0.3">
      <c r="D30" s="2" t="s">
        <v>25</v>
      </c>
      <c r="E30" s="3">
        <v>352834000</v>
      </c>
    </row>
    <row r="31" spans="4:5" x14ac:dyDescent="0.3">
      <c r="D31" s="2" t="s">
        <v>26</v>
      </c>
      <c r="E31" s="3">
        <v>241727084</v>
      </c>
    </row>
    <row r="32" spans="4:5" x14ac:dyDescent="0.3">
      <c r="D32" s="2" t="s">
        <v>27</v>
      </c>
      <c r="E32" s="3">
        <v>290527549</v>
      </c>
    </row>
    <row r="33" spans="4:5" x14ac:dyDescent="0.3">
      <c r="D33" s="2" t="s">
        <v>5</v>
      </c>
      <c r="E33" s="3">
        <v>885088633</v>
      </c>
    </row>
  </sheetData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DCA2-F640-4796-9201-A293419FD707}">
  <sheetPr>
    <tabColor theme="7"/>
  </sheetPr>
  <dimension ref="A1"/>
  <sheetViews>
    <sheetView workbookViewId="0">
      <selection activeCell="M26" sqref="M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FC28-EE75-48D7-B726-59219507721D}">
  <sheetPr>
    <tabColor theme="2" tint="-0.749992370372631"/>
  </sheetPr>
  <dimension ref="Y7"/>
  <sheetViews>
    <sheetView tabSelected="1" zoomScaleNormal="100" workbookViewId="0"/>
  </sheetViews>
  <sheetFormatPr defaultRowHeight="14.4" x14ac:dyDescent="0.3"/>
  <sheetData>
    <row r="7" spans="25:25" x14ac:dyDescent="0.3">
      <c r="Y7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28A3A693-57AF-4B23-97C7-39B7161FA520}">
  <ds:schemaRefs/>
</ds:datastoreItem>
</file>

<file path=customXml/itemProps2.xml><?xml version="1.0" encoding="utf-8"?>
<ds:datastoreItem xmlns:ds="http://schemas.openxmlformats.org/officeDocument/2006/customXml" ds:itemID="{AA677B8F-8505-49C5-BD34-0241748A463D}">
  <ds:schemaRefs/>
</ds:datastoreItem>
</file>

<file path=customXml/itemProps3.xml><?xml version="1.0" encoding="utf-8"?>
<ds:datastoreItem xmlns:ds="http://schemas.openxmlformats.org/officeDocument/2006/customXml" ds:itemID="{BCA79E1D-D9B3-4F4A-B25B-4F4DF50FA5EC}">
  <ds:schemaRefs/>
</ds:datastoreItem>
</file>

<file path=customXml/itemProps4.xml><?xml version="1.0" encoding="utf-8"?>
<ds:datastoreItem xmlns:ds="http://schemas.openxmlformats.org/officeDocument/2006/customXml" ds:itemID="{697E6AA1-F500-4F6A-A0C3-3B1917C19603}">
  <ds:schemaRefs/>
</ds:datastoreItem>
</file>

<file path=customXml/itemProps5.xml><?xml version="1.0" encoding="utf-8"?>
<ds:datastoreItem xmlns:ds="http://schemas.openxmlformats.org/officeDocument/2006/customXml" ds:itemID="{5DDC040E-41EE-4097-BC6F-2A8AC213CE3B}">
  <ds:schemaRefs/>
</ds:datastoreItem>
</file>

<file path=customXml/itemProps6.xml><?xml version="1.0" encoding="utf-8"?>
<ds:datastoreItem xmlns:ds="http://schemas.openxmlformats.org/officeDocument/2006/customXml" ds:itemID="{9A52793D-4825-4995-8B49-E743199DEF7B}">
  <ds:schemaRefs/>
</ds:datastoreItem>
</file>

<file path=customXml/itemProps7.xml><?xml version="1.0" encoding="utf-8"?>
<ds:datastoreItem xmlns:ds="http://schemas.openxmlformats.org/officeDocument/2006/customXml" ds:itemID="{7A155866-053F-466A-B52F-74F7CB012665}">
  <ds:schemaRefs/>
</ds:datastoreItem>
</file>

<file path=customXml/itemProps8.xml><?xml version="1.0" encoding="utf-8"?>
<ds:datastoreItem xmlns:ds="http://schemas.openxmlformats.org/officeDocument/2006/customXml" ds:itemID="{48E0FBA1-A202-4593-A340-67D51C33F2D0}">
  <ds:schemaRefs/>
</ds:datastoreItem>
</file>

<file path=customXml/itemProps9.xml><?xml version="1.0" encoding="utf-8"?>
<ds:datastoreItem xmlns:ds="http://schemas.openxmlformats.org/officeDocument/2006/customXml" ds:itemID="{C8AC1931-B8B8-453E-B178-84830724B142}">
  <ds:schemaRefs/>
</ds:datastoreItem>
</file>

<file path=customXml/itemProps10.xml><?xml version="1.0" encoding="utf-8"?>
<ds:datastoreItem xmlns:ds="http://schemas.openxmlformats.org/officeDocument/2006/customXml" ds:itemID="{5A762A92-6860-44A7-85E1-3A4BBB8834B2}">
  <ds:schemaRefs/>
</ds:datastoreItem>
</file>

<file path=customXml/itemProps11.xml><?xml version="1.0" encoding="utf-8"?>
<ds:datastoreItem xmlns:ds="http://schemas.openxmlformats.org/officeDocument/2006/customXml" ds:itemID="{07D62465-E082-4DC8-9CCD-AEECD18FD423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F3310C77-8AA9-493F-BB43-70872FFBFFE2}">
  <ds:schemaRefs/>
</ds:datastoreItem>
</file>

<file path=customXml/itemProps13.xml><?xml version="1.0" encoding="utf-8"?>
<ds:datastoreItem xmlns:ds="http://schemas.openxmlformats.org/officeDocument/2006/customXml" ds:itemID="{C97B2228-81C6-4DF0-ACC7-5F4718B6E121}">
  <ds:schemaRefs/>
</ds:datastoreItem>
</file>

<file path=customXml/itemProps14.xml><?xml version="1.0" encoding="utf-8"?>
<ds:datastoreItem xmlns:ds="http://schemas.openxmlformats.org/officeDocument/2006/customXml" ds:itemID="{85899C78-0577-431E-AE18-55DE97D52B06}">
  <ds:schemaRefs/>
</ds:datastoreItem>
</file>

<file path=customXml/itemProps15.xml><?xml version="1.0" encoding="utf-8"?>
<ds:datastoreItem xmlns:ds="http://schemas.openxmlformats.org/officeDocument/2006/customXml" ds:itemID="{BEC26DC9-C4A7-41CD-ABD7-9C4CE9BBB604}">
  <ds:schemaRefs/>
</ds:datastoreItem>
</file>

<file path=customXml/itemProps16.xml><?xml version="1.0" encoding="utf-8"?>
<ds:datastoreItem xmlns:ds="http://schemas.openxmlformats.org/officeDocument/2006/customXml" ds:itemID="{5F5774D8-01CA-46D7-BF4E-BECF038F5255}">
  <ds:schemaRefs/>
</ds:datastoreItem>
</file>

<file path=customXml/itemProps17.xml><?xml version="1.0" encoding="utf-8"?>
<ds:datastoreItem xmlns:ds="http://schemas.openxmlformats.org/officeDocument/2006/customXml" ds:itemID="{3CC0D35E-17FC-4EF4-B026-CCB5144D5E9B}">
  <ds:schemaRefs/>
</ds:datastoreItem>
</file>

<file path=customXml/itemProps18.xml><?xml version="1.0" encoding="utf-8"?>
<ds:datastoreItem xmlns:ds="http://schemas.openxmlformats.org/officeDocument/2006/customXml" ds:itemID="{CD08BB62-4D3A-4D71-BF20-AEFC06924AE5}">
  <ds:schemaRefs/>
</ds:datastoreItem>
</file>

<file path=customXml/itemProps19.xml><?xml version="1.0" encoding="utf-8"?>
<ds:datastoreItem xmlns:ds="http://schemas.openxmlformats.org/officeDocument/2006/customXml" ds:itemID="{C529AC4B-6BD7-4E82-8FB8-6FC59E9FB94F}">
  <ds:schemaRefs/>
</ds:datastoreItem>
</file>

<file path=customXml/itemProps20.xml><?xml version="1.0" encoding="utf-8"?>
<ds:datastoreItem xmlns:ds="http://schemas.openxmlformats.org/officeDocument/2006/customXml" ds:itemID="{EC10FC27-0340-4671-BEB9-6066F1BDCFD4}">
  <ds:schemaRefs/>
</ds:datastoreItem>
</file>

<file path=customXml/itemProps21.xml><?xml version="1.0" encoding="utf-8"?>
<ds:datastoreItem xmlns:ds="http://schemas.openxmlformats.org/officeDocument/2006/customXml" ds:itemID="{AE66759F-A093-42C0-8A20-85333855D985}">
  <ds:schemaRefs/>
</ds:datastoreItem>
</file>

<file path=customXml/itemProps22.xml><?xml version="1.0" encoding="utf-8"?>
<ds:datastoreItem xmlns:ds="http://schemas.openxmlformats.org/officeDocument/2006/customXml" ds:itemID="{88A63FC3-634B-4B69-8AD0-36D5963DB269}">
  <ds:schemaRefs/>
</ds:datastoreItem>
</file>

<file path=customXml/itemProps23.xml><?xml version="1.0" encoding="utf-8"?>
<ds:datastoreItem xmlns:ds="http://schemas.openxmlformats.org/officeDocument/2006/customXml" ds:itemID="{DEA97C49-8703-4744-9C08-F775C42AD3FE}">
  <ds:schemaRefs/>
</ds:datastoreItem>
</file>

<file path=customXml/itemProps24.xml><?xml version="1.0" encoding="utf-8"?>
<ds:datastoreItem xmlns:ds="http://schemas.openxmlformats.org/officeDocument/2006/customXml" ds:itemID="{359BA2FB-A8EB-4B21-9C4E-AFF516B9558C}">
  <ds:schemaRefs/>
</ds:datastoreItem>
</file>

<file path=customXml/itemProps25.xml><?xml version="1.0" encoding="utf-8"?>
<ds:datastoreItem xmlns:ds="http://schemas.openxmlformats.org/officeDocument/2006/customXml" ds:itemID="{F3775F90-BAA2-4965-880A-0620B9D2153B}">
  <ds:schemaRefs/>
</ds:datastoreItem>
</file>

<file path=customXml/itemProps26.xml><?xml version="1.0" encoding="utf-8"?>
<ds:datastoreItem xmlns:ds="http://schemas.openxmlformats.org/officeDocument/2006/customXml" ds:itemID="{29F02E02-BD64-4AEC-9690-BA844D051D8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 </vt:lpstr>
      <vt:lpstr>Home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Elkholy</dc:creator>
  <cp:lastModifiedBy>Samia Elkholy</cp:lastModifiedBy>
  <dcterms:created xsi:type="dcterms:W3CDTF">2026-03-26T12:04:29Z</dcterms:created>
  <dcterms:modified xsi:type="dcterms:W3CDTF">2026-03-27T22:20:53Z</dcterms:modified>
</cp:coreProperties>
</file>